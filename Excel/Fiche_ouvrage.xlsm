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uema\Desktop\ttt\"/>
    </mc:Choice>
  </mc:AlternateContent>
  <xr:revisionPtr revIDLastSave="0" documentId="13_ncr:1_{F654FB22-9F1D-4716-BE16-5A693B2E06E1}" xr6:coauthVersionLast="41" xr6:coauthVersionMax="41" xr10:uidLastSave="{00000000-0000-0000-0000-000000000000}"/>
  <bookViews>
    <workbookView xWindow="-108" yWindow="492" windowWidth="23256" windowHeight="12576" tabRatio="563" activeTab="1" xr2:uid="{00000000-000D-0000-FFFF-FFFF00000000}"/>
  </bookViews>
  <sheets>
    <sheet name="témoin" sheetId="32" r:id="rId1"/>
    <sheet name="Main" sheetId="33" r:id="rId2"/>
  </sheets>
  <functionGroups builtInGroupCount="19"/>
  <definedNames>
    <definedName name="diametre">témoin!$BW$22:$BW$36</definedName>
    <definedName name="DIX">"Flèche vers le haut 31"</definedName>
    <definedName name="FCINQ">"Flèche vers le haut 44"</definedName>
    <definedName name="FDEUX">"Flèche vers le haut 42"</definedName>
    <definedName name="FDIX">"Flèche vers le haut 39"</definedName>
    <definedName name="FHUIT">"Flèche vers le haut 37"</definedName>
    <definedName name="FILDO">témoin!$BA$45:$BA$50</definedName>
    <definedName name="FMIDI">"Flèche vers le haut 34"</definedName>
    <definedName name="FNEUF">"Flèche vers le haut 36"</definedName>
    <definedName name="FONZE">"Flèche vers le haut 40"</definedName>
    <definedName name="FQUATRE">"Flèche vers le haut 43"</definedName>
    <definedName name="FSEPT">"Flèche vers le haut 38"</definedName>
    <definedName name="FSIX">"Flèche vers le haut 86"</definedName>
    <definedName name="FTROIS">"Flèche vers le haut 140"</definedName>
    <definedName name="FUNE">"Image 4"</definedName>
    <definedName name="GEOMETRIE">témoin!$BI$45:$BI$50</definedName>
    <definedName name="NATURE">témoin!$BS$45:$BS$50</definedName>
    <definedName name="ROLE">témoin!$BD$44:$BD$50</definedName>
    <definedName name="_xlnm.Print_Area" localSheetId="0">témoin!$B$1:$AW$81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Z53" i="32" l="1"/>
  <c r="CA107" i="32" l="1"/>
  <c r="CA108" i="32" s="1"/>
  <c r="BZ107" i="32"/>
  <c r="BZ144" i="32" l="1"/>
  <c r="CA144" i="32" s="1"/>
  <c r="BZ139" i="32"/>
  <c r="CA139" i="32" s="1"/>
  <c r="BZ142" i="32"/>
  <c r="CA142" i="32" s="1"/>
  <c r="BZ141" i="32"/>
  <c r="CA141" i="32" s="1"/>
  <c r="BZ146" i="32"/>
  <c r="CA146" i="32" s="1"/>
  <c r="BZ145" i="32"/>
  <c r="CA145" i="32" s="1"/>
  <c r="BZ140" i="32"/>
  <c r="CA140" i="32" s="1"/>
  <c r="BZ138" i="32"/>
  <c r="CA138" i="32" s="1"/>
  <c r="BZ143" i="32"/>
  <c r="CA143" i="32" s="1"/>
  <c r="BZ109" i="32"/>
  <c r="CA109" i="32" s="1"/>
  <c r="BZ110" i="32" s="1"/>
  <c r="CA110" i="32" s="1"/>
  <c r="BZ111" i="32" s="1"/>
  <c r="CA111" i="32" s="1"/>
  <c r="BZ112" i="32" s="1"/>
  <c r="CA112" i="32" s="1"/>
  <c r="BZ113" i="32" s="1"/>
  <c r="CA113" i="32" s="1"/>
  <c r="AB57" i="32"/>
  <c r="AF57" i="32"/>
  <c r="AF53" i="32"/>
  <c r="AF54" i="32"/>
  <c r="AF55" i="32"/>
  <c r="AF56" i="32"/>
  <c r="AB53" i="32"/>
  <c r="AB54" i="32"/>
  <c r="AB55" i="32"/>
  <c r="AB56" i="32"/>
  <c r="BZ114" i="32" l="1"/>
  <c r="CA114" i="32" s="1"/>
  <c r="BZ4" i="32"/>
  <c r="BY92" i="32"/>
  <c r="BZ115" i="32" l="1"/>
  <c r="CA115" i="32" s="1"/>
  <c r="AF52" i="32"/>
  <c r="BZ116" i="32" l="1"/>
  <c r="CA116" i="32" s="1"/>
  <c r="AB52" i="32"/>
  <c r="BZ117" i="32" l="1"/>
  <c r="CA117" i="32" s="1"/>
  <c r="BY101" i="32"/>
  <c r="BZ118" i="32" l="1"/>
  <c r="CA118" i="32" s="1"/>
  <c r="BZ99" i="32"/>
  <c r="BZ100" i="32"/>
  <c r="BZ90" i="32"/>
  <c r="BZ92" i="32"/>
  <c r="BZ119" i="32" l="1"/>
  <c r="CA119" i="32" s="1"/>
  <c r="BZ96" i="32"/>
  <c r="BZ97" i="32"/>
  <c r="BZ98" i="32"/>
  <c r="BZ95" i="32"/>
  <c r="BZ94" i="32"/>
  <c r="BZ93" i="32"/>
  <c r="BZ91" i="32"/>
  <c r="BZ89" i="32"/>
  <c r="BZ88" i="32"/>
  <c r="BZ87" i="32"/>
  <c r="BZ120" i="32" l="1"/>
  <c r="CA120" i="32" s="1"/>
  <c r="BZ121" i="32" s="1"/>
  <c r="CA121" i="32" s="1"/>
  <c r="BZ122" i="32" s="1"/>
  <c r="CA122" i="32" s="1"/>
  <c r="BZ123" i="32" s="1"/>
  <c r="CA123" i="32" s="1"/>
  <c r="BZ124" i="32" s="1"/>
  <c r="CA124" i="32" s="1"/>
  <c r="BZ125" i="32" s="1"/>
  <c r="CA125" i="32" s="1"/>
  <c r="BZ126" i="32" s="1"/>
  <c r="CA126" i="32" s="1"/>
  <c r="BZ127" i="32" s="1"/>
  <c r="CA127" i="32" s="1"/>
  <c r="BZ128" i="32" s="1"/>
  <c r="CA128" i="32" s="1"/>
  <c r="BZ129" i="32" s="1"/>
  <c r="CA129" i="32" s="1"/>
  <c r="BZ130" i="32" s="1"/>
  <c r="CA130" i="32" s="1"/>
  <c r="BZ131" i="32" s="1"/>
  <c r="CA131" i="32" s="1"/>
  <c r="BZ132" i="32" s="1"/>
  <c r="CA132" i="32" s="1"/>
  <c r="BZ133" i="32" s="1"/>
  <c r="CA133" i="32" s="1"/>
  <c r="BZ134" i="32" s="1"/>
  <c r="CA134" i="32" s="1"/>
  <c r="BZ135" i="32" s="1"/>
  <c r="CA135" i="32" s="1"/>
  <c r="BZ136" i="32" s="1"/>
  <c r="CA136" i="32" s="1"/>
  <c r="BZ137" i="32" s="1"/>
  <c r="CA137" i="32" s="1"/>
  <c r="AO47" i="32"/>
  <c r="CB98" i="32" l="1"/>
  <c r="CD98" i="32" s="1"/>
  <c r="CE98" i="32" l="1"/>
  <c r="AC51" i="32"/>
  <c r="BY103" i="32"/>
  <c r="BZ103" i="32" s="1"/>
  <c r="BY102" i="32"/>
  <c r="BZ102" i="32" s="1"/>
  <c r="BY85" i="32"/>
  <c r="BZ85" i="32" s="1"/>
  <c r="BY84" i="32"/>
  <c r="CA84" i="32" s="1"/>
  <c r="BY83" i="32"/>
  <c r="BZ83" i="32" s="1"/>
  <c r="BY81" i="32"/>
  <c r="BZ81" i="32" s="1"/>
  <c r="AN47" i="32"/>
  <c r="CA91" i="32" l="1"/>
  <c r="CA88" i="32"/>
  <c r="CA89" i="32"/>
  <c r="CC100" i="32"/>
  <c r="CA96" i="32"/>
  <c r="CC84" i="32"/>
  <c r="CB84" i="32"/>
  <c r="BY104" i="32"/>
  <c r="BZ104" i="32" s="1"/>
  <c r="BZ84" i="32" l="1"/>
</calcChain>
</file>

<file path=xl/sharedStrings.xml><?xml version="1.0" encoding="utf-8"?>
<sst xmlns="http://schemas.openxmlformats.org/spreadsheetml/2006/main" count="165" uniqueCount="144">
  <si>
    <t>Ce document est la propriété de GEODIAGNOSTIC. Toute reproduction, même partielle, est interdite sans son autorisation écrite.</t>
  </si>
  <si>
    <t>o</t>
  </si>
  <si>
    <t>þ</t>
  </si>
  <si>
    <t>Géoréférencement de réseau</t>
  </si>
  <si>
    <t>Localisation de l'ouvrage</t>
  </si>
  <si>
    <t>FICHE OUVRAGE</t>
  </si>
  <si>
    <t>Commune :</t>
  </si>
  <si>
    <t>Nom de la rue :</t>
  </si>
  <si>
    <t>Implantation :</t>
  </si>
  <si>
    <t>trottoir</t>
  </si>
  <si>
    <t>Type de réseau :</t>
  </si>
  <si>
    <t>Caractéristique de l'ouvrage</t>
  </si>
  <si>
    <t>Type :</t>
  </si>
  <si>
    <t>regard</t>
  </si>
  <si>
    <t>avaloir</t>
  </si>
  <si>
    <t>grille</t>
  </si>
  <si>
    <t>Dispositif de fermeture :</t>
  </si>
  <si>
    <t>circulaire</t>
  </si>
  <si>
    <t>rectangulaire</t>
  </si>
  <si>
    <t>000 x 000 mm</t>
  </si>
  <si>
    <t>Ø 000 mm</t>
  </si>
  <si>
    <t>Dispositif d'accés :</t>
  </si>
  <si>
    <t>Cunette :</t>
  </si>
  <si>
    <t>Schéma de l'ouvrage</t>
  </si>
  <si>
    <t xml:space="preserve"> Photo de l'ouvrage</t>
  </si>
  <si>
    <t xml:space="preserve"> Croquis de l'ouvrage</t>
  </si>
  <si>
    <t>Carcatéristiques des canalisations et des branchements</t>
  </si>
  <si>
    <t>fs</t>
  </si>
  <si>
    <t>fe1</t>
  </si>
  <si>
    <t>fe2</t>
  </si>
  <si>
    <t>réf.</t>
  </si>
  <si>
    <t>rôle</t>
  </si>
  <si>
    <t>branchement</t>
  </si>
  <si>
    <t>collecteur</t>
  </si>
  <si>
    <t>géomètrie</t>
  </si>
  <si>
    <t>ovoïde</t>
  </si>
  <si>
    <t>dimension</t>
  </si>
  <si>
    <t>Ø 600 mm</t>
  </si>
  <si>
    <t>300 x 300 mm</t>
  </si>
  <si>
    <t>nature</t>
  </si>
  <si>
    <t>B</t>
  </si>
  <si>
    <t>PVC</t>
  </si>
  <si>
    <t>m</t>
  </si>
  <si>
    <t>prof.</t>
  </si>
  <si>
    <t>altimétrie</t>
  </si>
  <si>
    <t>observations</t>
  </si>
  <si>
    <t>Anomalies observées</t>
  </si>
  <si>
    <t>Traces de mise en charge :</t>
  </si>
  <si>
    <t>[  faible  /  moyenne  /  importante  ]</t>
  </si>
  <si>
    <t>Perturbation de l'écoulement :</t>
  </si>
  <si>
    <t>traces d'infiltration</t>
  </si>
  <si>
    <t>branchement non étanche</t>
  </si>
  <si>
    <t>génie civil fissuré</t>
  </si>
  <si>
    <t>tampon non accessible</t>
  </si>
  <si>
    <t>[  sous enrobé  /  sous véhicule  ]</t>
  </si>
  <si>
    <t>tampon détérioré</t>
  </si>
  <si>
    <t>Présence d'H2S :</t>
  </si>
  <si>
    <t>Autres observations :</t>
  </si>
  <si>
    <t>Défaut d'étanchéité :</t>
  </si>
  <si>
    <t>Défaut de structure :</t>
  </si>
  <si>
    <t>Défaut de fermeture :</t>
  </si>
  <si>
    <t>[  léger  /  lourd  ]</t>
  </si>
  <si>
    <t>Observation :</t>
  </si>
  <si>
    <t>Section (cheminée) :</t>
  </si>
  <si>
    <t>Nature (cheminée) :</t>
  </si>
  <si>
    <t>Dimension (cheminée) :</t>
  </si>
  <si>
    <t>Côte tn (Z) :</t>
  </si>
  <si>
    <r>
      <t xml:space="preserve">m </t>
    </r>
    <r>
      <rPr>
        <sz val="7"/>
        <rFont val="Tw Cen MT"/>
        <family val="2"/>
      </rPr>
      <t>NGF</t>
    </r>
  </si>
  <si>
    <t>Profondeur radier en l'absence de cunette :</t>
  </si>
  <si>
    <r>
      <t>m NGF</t>
    </r>
    <r>
      <rPr>
        <sz val="10"/>
        <rFont val="Tw Cen MT"/>
        <family val="2"/>
      </rPr>
      <t xml:space="preserve"> )</t>
    </r>
  </si>
  <si>
    <r>
      <t xml:space="preserve">[  </t>
    </r>
    <r>
      <rPr>
        <i/>
        <strike/>
        <sz val="10"/>
        <rFont val="Tw Cen MT"/>
        <family val="2"/>
      </rPr>
      <t>faible</t>
    </r>
    <r>
      <rPr>
        <i/>
        <sz val="10"/>
        <rFont val="Tw Cen MT"/>
        <family val="2"/>
      </rPr>
      <t xml:space="preserve">  /  moyenne  /  </t>
    </r>
    <r>
      <rPr>
        <i/>
        <strike/>
        <sz val="10"/>
        <rFont val="Tw Cen MT"/>
        <family val="2"/>
      </rPr>
      <t>importante</t>
    </r>
    <r>
      <rPr>
        <i/>
        <sz val="10"/>
        <rFont val="Tw Cen MT"/>
        <family val="2"/>
      </rPr>
      <t xml:space="preserve">  ]</t>
    </r>
  </si>
  <si>
    <r>
      <t xml:space="preserve">[  faible  /  </t>
    </r>
    <r>
      <rPr>
        <i/>
        <strike/>
        <sz val="10"/>
        <rFont val="Tw Cen MT"/>
        <family val="2"/>
      </rPr>
      <t>moyenne</t>
    </r>
    <r>
      <rPr>
        <i/>
        <sz val="10"/>
        <rFont val="Tw Cen MT"/>
        <family val="2"/>
      </rPr>
      <t xml:space="preserve">  /  </t>
    </r>
    <r>
      <rPr>
        <i/>
        <strike/>
        <sz val="10"/>
        <rFont val="Tw Cen MT"/>
        <family val="2"/>
      </rPr>
      <t>importante</t>
    </r>
    <r>
      <rPr>
        <i/>
        <sz val="10"/>
        <rFont val="Tw Cen MT"/>
        <family val="2"/>
      </rPr>
      <t xml:space="preserve">  ]</t>
    </r>
  </si>
  <si>
    <r>
      <t xml:space="preserve">[  </t>
    </r>
    <r>
      <rPr>
        <i/>
        <strike/>
        <sz val="10"/>
        <rFont val="Tw Cen MT"/>
        <family val="2"/>
      </rPr>
      <t>faible</t>
    </r>
    <r>
      <rPr>
        <i/>
        <sz val="10"/>
        <rFont val="Tw Cen MT"/>
        <family val="2"/>
      </rPr>
      <t xml:space="preserve">  /  </t>
    </r>
    <r>
      <rPr>
        <i/>
        <strike/>
        <sz val="10"/>
        <rFont val="Tw Cen MT"/>
        <family val="2"/>
      </rPr>
      <t>moyenne</t>
    </r>
    <r>
      <rPr>
        <i/>
        <sz val="10"/>
        <rFont val="Tw Cen MT"/>
        <family val="2"/>
      </rPr>
      <t xml:space="preserve">  /  importante  ]</t>
    </r>
  </si>
  <si>
    <t>&gt;</t>
  </si>
  <si>
    <t>déboitement</t>
  </si>
  <si>
    <r>
      <t xml:space="preserve">[  sous enrobé  /  </t>
    </r>
    <r>
      <rPr>
        <i/>
        <strike/>
        <sz val="10"/>
        <rFont val="Tw Cen MT"/>
        <family val="2"/>
      </rPr>
      <t>sous véhicule</t>
    </r>
    <r>
      <rPr>
        <i/>
        <sz val="10"/>
        <rFont val="Tw Cen MT"/>
        <family val="2"/>
      </rPr>
      <t xml:space="preserve">  ]</t>
    </r>
  </si>
  <si>
    <r>
      <t xml:space="preserve">[  </t>
    </r>
    <r>
      <rPr>
        <i/>
        <strike/>
        <sz val="10"/>
        <rFont val="Tw Cen MT"/>
        <family val="2"/>
      </rPr>
      <t>sous enrobé</t>
    </r>
    <r>
      <rPr>
        <i/>
        <sz val="10"/>
        <rFont val="Tw Cen MT"/>
        <family val="2"/>
      </rPr>
      <t xml:space="preserve">  /  sous véhicule  ]</t>
    </r>
  </si>
  <si>
    <r>
      <t xml:space="preserve">[  léger  /  </t>
    </r>
    <r>
      <rPr>
        <i/>
        <strike/>
        <sz val="10"/>
        <rFont val="Tw Cen MT"/>
        <family val="2"/>
      </rPr>
      <t>lourd</t>
    </r>
    <r>
      <rPr>
        <i/>
        <sz val="10"/>
        <rFont val="Tw Cen MT"/>
        <family val="2"/>
      </rPr>
      <t xml:space="preserve">  ]</t>
    </r>
  </si>
  <si>
    <r>
      <t xml:space="preserve">[  </t>
    </r>
    <r>
      <rPr>
        <i/>
        <strike/>
        <sz val="10"/>
        <rFont val="Tw Cen MT"/>
        <family val="2"/>
      </rPr>
      <t>léger</t>
    </r>
    <r>
      <rPr>
        <i/>
        <sz val="10"/>
        <rFont val="Tw Cen MT"/>
        <family val="2"/>
      </rPr>
      <t xml:space="preserve">  /  lourd  ]</t>
    </r>
  </si>
  <si>
    <t>( source : cabinet LAPOUILLE )</t>
  </si>
  <si>
    <t>GEODIAGNOSTIC - 21, rue de Queux St-Hilaire - 59190 HAZEBROUCK - Tel : 03.28.49.97.50 - Fax : 09.81.38.78.38 - E-mail : contact@geodiagnostic.fr</t>
  </si>
  <si>
    <t>FC</t>
  </si>
  <si>
    <t>G</t>
  </si>
  <si>
    <t>fe3</t>
  </si>
  <si>
    <t>fe4</t>
  </si>
  <si>
    <t>fe5</t>
  </si>
  <si>
    <t>canalisation</t>
  </si>
  <si>
    <t>Avaloir siphonné</t>
  </si>
  <si>
    <t>Avaloir non siphonné</t>
  </si>
  <si>
    <t>date</t>
  </si>
  <si>
    <t xml:space="preserve">ville </t>
  </si>
  <si>
    <t>rue</t>
  </si>
  <si>
    <t>REF</t>
  </si>
  <si>
    <t>X</t>
  </si>
  <si>
    <t>Y</t>
  </si>
  <si>
    <t>Z</t>
  </si>
  <si>
    <t>Valeur Brute</t>
  </si>
  <si>
    <t>Valeur Nette</t>
  </si>
  <si>
    <t>implantation</t>
  </si>
  <si>
    <t>Dispo ferme</t>
  </si>
  <si>
    <t>Nature chemi</t>
  </si>
  <si>
    <t>Section chemin</t>
  </si>
  <si>
    <t>accès</t>
  </si>
  <si>
    <t>cunette</t>
  </si>
  <si>
    <t>MEC</t>
  </si>
  <si>
    <t>Pertuba</t>
  </si>
  <si>
    <t>Def. Étan</t>
  </si>
  <si>
    <t>Def.Struct</t>
  </si>
  <si>
    <t>Def.fer</t>
  </si>
  <si>
    <t>H2S</t>
  </si>
  <si>
    <t>OBS</t>
  </si>
  <si>
    <t>REFERENCE TOPO</t>
  </si>
  <si>
    <t>faible</t>
  </si>
  <si>
    <t>Dimension</t>
  </si>
  <si>
    <t xml:space="preserve"> </t>
  </si>
  <si>
    <t>important</t>
  </si>
  <si>
    <t>moyen</t>
  </si>
  <si>
    <t>Type réseau</t>
  </si>
  <si>
    <t>Type ouvrage.</t>
  </si>
  <si>
    <t>Ø 400 mm</t>
  </si>
  <si>
    <t>Ø 300 mm</t>
  </si>
  <si>
    <t>Ø 500 mm</t>
  </si>
  <si>
    <t>voûte</t>
  </si>
  <si>
    <t>Ø 80 mm</t>
  </si>
  <si>
    <t>Ø 150 mm</t>
  </si>
  <si>
    <t>Ø 100 mm</t>
  </si>
  <si>
    <t>Ø 200 mm</t>
  </si>
  <si>
    <t>???</t>
  </si>
  <si>
    <t>Ø 125 mm</t>
  </si>
  <si>
    <t>Ø 90 mm</t>
  </si>
  <si>
    <t>briques</t>
  </si>
  <si>
    <t>Ø 250 mm</t>
  </si>
  <si>
    <t>Ø 60 mm</t>
  </si>
  <si>
    <t>Ø 110 mm</t>
  </si>
  <si>
    <t>déverse</t>
  </si>
  <si>
    <t>eu</t>
  </si>
  <si>
    <t>non_accessib</t>
  </si>
  <si>
    <t>Chemin d'accés :</t>
  </si>
  <si>
    <t>Nom du fichier :</t>
  </si>
  <si>
    <t>C:\Users\huema\Desktop\</t>
  </si>
  <si>
    <t>ouvrages.csv</t>
  </si>
  <si>
    <t>Nom de sauvegarde</t>
  </si>
  <si>
    <t>Nom du fichier image :</t>
  </si>
  <si>
    <t>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</si>
</sst>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C]d\-mmm;@"/>
    <numFmt numFmtId="165" formatCode="yyyy/mm/dd"/>
    <numFmt numFmtId="166" formatCode="00"/>
    <numFmt numFmtId="167" formatCode="000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w Cen MT"/>
      <family val="2"/>
    </font>
    <font>
      <b/>
      <sz val="11"/>
      <name val="Tw Cen MT"/>
      <family val="2"/>
    </font>
    <font>
      <sz val="11"/>
      <name val="Wingdings"/>
      <charset val="2"/>
    </font>
    <font>
      <sz val="8"/>
      <name val="Tw Cen MT"/>
      <family val="2"/>
    </font>
    <font>
      <i/>
      <sz val="10"/>
      <name val="Tw Cen MT"/>
      <family val="2"/>
    </font>
    <font>
      <b/>
      <sz val="36"/>
      <name val="Tw Cen MT"/>
      <family val="2"/>
    </font>
    <font>
      <i/>
      <sz val="7"/>
      <name val="Tw Cen MT"/>
      <family val="2"/>
    </font>
    <font>
      <sz val="11"/>
      <name val="Wingdings 3"/>
      <family val="1"/>
      <charset val="2"/>
    </font>
    <font>
      <sz val="10"/>
      <name val="Tw Cen MT"/>
      <family val="2"/>
    </font>
    <font>
      <sz val="10"/>
      <name val="Wingdings"/>
      <charset val="2"/>
    </font>
    <font>
      <b/>
      <sz val="10"/>
      <name val="Wingdings"/>
      <charset val="2"/>
    </font>
    <font>
      <sz val="9"/>
      <name val="Tw Cen MT"/>
      <family val="2"/>
    </font>
    <font>
      <i/>
      <sz val="9"/>
      <name val="Tw Cen MT"/>
      <family val="2"/>
    </font>
    <font>
      <b/>
      <sz val="10"/>
      <name val="Tw Cen MT"/>
      <family val="2"/>
    </font>
    <font>
      <sz val="7"/>
      <name val="Tw Cen MT"/>
      <family val="2"/>
    </font>
    <font>
      <i/>
      <strike/>
      <sz val="10"/>
      <name val="Tw Cen MT"/>
      <family val="2"/>
    </font>
    <font>
      <sz val="11"/>
      <name val="Calibri"/>
      <family val="2"/>
      <scheme val="minor"/>
    </font>
    <font>
      <sz val="6"/>
      <color theme="0" tint="-0.499984740745262"/>
      <name val="Calibri"/>
      <family val="2"/>
      <scheme val="minor"/>
    </font>
    <font>
      <b/>
      <i/>
      <sz val="2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0000"/>
      <name val="Tw Cen MT"/>
      <family val="2"/>
    </font>
    <font>
      <b/>
      <sz val="11"/>
      <color theme="1"/>
      <name val="Tw Cen MT"/>
      <family val="2"/>
    </font>
    <font>
      <b/>
      <i/>
      <u/>
      <sz val="12"/>
      <color rgb="FFFF0000"/>
      <name val="Tw Cen MT"/>
      <family val="2"/>
    </font>
    <font>
      <sz val="10"/>
      <color rgb="FF000000"/>
      <name val="Arial"/>
      <family val="2"/>
    </font>
    <font>
      <i/>
      <sz val="7"/>
      <color theme="1"/>
      <name val="Calibri"/>
      <family val="2"/>
      <scheme val="minor"/>
    </font>
    <font>
      <i/>
      <sz val="12"/>
      <name val="Calibri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F6F6F"/>
        <bgColor indexed="64"/>
      </patternFill>
    </fill>
  </fills>
  <borders count="7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6"/>
      </right>
      <top/>
      <bottom/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93300"/>
      </left>
      <right/>
      <top/>
      <bottom/>
      <diagonal/>
    </border>
    <border>
      <left/>
      <right style="thin">
        <color rgb="FF993300"/>
      </right>
      <top/>
      <bottom/>
      <diagonal/>
    </border>
    <border>
      <left style="thin">
        <color rgb="FF993300"/>
      </left>
      <right/>
      <top/>
      <bottom style="thin">
        <color rgb="FF993300"/>
      </bottom>
      <diagonal/>
    </border>
    <border>
      <left/>
      <right/>
      <top/>
      <bottom style="thin">
        <color rgb="FF993300"/>
      </bottom>
      <diagonal/>
    </border>
    <border>
      <left/>
      <right style="thin">
        <color rgb="FF993300"/>
      </right>
      <top/>
      <bottom style="thin">
        <color rgb="FF993300"/>
      </bottom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/>
      <right/>
      <top/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hair">
        <color theme="0" tint="-0.24994659260841701"/>
      </bottom>
      <diagonal/>
    </border>
    <border>
      <left/>
      <right style="medium">
        <color indexed="64"/>
      </right>
      <top/>
      <bottom style="hair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34998626667073579"/>
      </left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 style="thin">
        <color theme="0" tint="-0.24994659260841701"/>
      </left>
      <right/>
      <top/>
      <bottom style="medium">
        <color theme="0" tint="-0.34998626667073579"/>
      </bottom>
      <diagonal/>
    </border>
    <border>
      <left/>
      <right style="thin">
        <color theme="0" tint="-0.24994659260841701"/>
      </right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95">
    <xf numFmtId="0" fontId="0" fillId="0" borderId="0" xfId="0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/>
    <xf numFmtId="0" fontId="8" fillId="0" borderId="0" xfId="0" applyFont="1" applyBorder="1"/>
    <xf numFmtId="0" fontId="8" fillId="0" borderId="1" xfId="0" applyFont="1" applyBorder="1"/>
    <xf numFmtId="0" fontId="8" fillId="0" borderId="0" xfId="0" applyFont="1"/>
    <xf numFmtId="0" fontId="8" fillId="0" borderId="2" xfId="0" applyFont="1" applyBorder="1"/>
    <xf numFmtId="0" fontId="10" fillId="0" borderId="0" xfId="0" applyFont="1" applyBorder="1" applyAlignment="1">
      <alignment horizontal="right"/>
    </xf>
    <xf numFmtId="0" fontId="8" fillId="0" borderId="3" xfId="0" applyFont="1" applyBorder="1"/>
    <xf numFmtId="0" fontId="8" fillId="0" borderId="4" xfId="0" applyFont="1" applyBorder="1"/>
    <xf numFmtId="0" fontId="8" fillId="0" borderId="0" xfId="0" applyFont="1" applyBorder="1" applyAlignment="1">
      <alignment vertical="center"/>
    </xf>
    <xf numFmtId="0" fontId="8" fillId="0" borderId="5" xfId="0" applyFont="1" applyBorder="1"/>
    <xf numFmtId="0" fontId="12" fillId="0" borderId="0" xfId="0" applyFont="1" applyBorder="1" applyAlignment="1">
      <alignment horizontal="left" vertical="center"/>
    </xf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14" fillId="0" borderId="0" xfId="0" applyFont="1" applyBorder="1" applyAlignment="1"/>
    <xf numFmtId="0" fontId="14" fillId="0" borderId="4" xfId="0" applyFont="1" applyBorder="1" applyAlignment="1"/>
    <xf numFmtId="0" fontId="8" fillId="0" borderId="26" xfId="0" applyFont="1" applyBorder="1"/>
    <xf numFmtId="0" fontId="8" fillId="0" borderId="27" xfId="0" applyFont="1" applyBorder="1"/>
    <xf numFmtId="0" fontId="15" fillId="0" borderId="26" xfId="0" applyFont="1" applyBorder="1"/>
    <xf numFmtId="0" fontId="8" fillId="0" borderId="28" xfId="0" applyFont="1" applyBorder="1"/>
    <xf numFmtId="0" fontId="8" fillId="0" borderId="29" xfId="0" applyFont="1" applyBorder="1"/>
    <xf numFmtId="0" fontId="8" fillId="0" borderId="30" xfId="0" applyFont="1" applyBorder="1"/>
    <xf numFmtId="0" fontId="24" fillId="0" borderId="0" xfId="0" applyFont="1" applyBorder="1" applyAlignment="1"/>
    <xf numFmtId="0" fontId="24" fillId="0" borderId="0" xfId="0" applyFont="1" applyBorder="1" applyAlignment="1">
      <alignment horizontal="center"/>
    </xf>
    <xf numFmtId="0" fontId="24" fillId="0" borderId="0" xfId="0" applyFont="1" applyBorder="1"/>
    <xf numFmtId="0" fontId="16" fillId="0" borderId="0" xfId="0" applyFont="1" applyBorder="1"/>
    <xf numFmtId="0" fontId="16" fillId="0" borderId="0" xfId="0" applyFont="1"/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7" fillId="0" borderId="0" xfId="0" applyFont="1" applyBorder="1" applyAlignment="1"/>
    <xf numFmtId="0" fontId="12" fillId="2" borderId="0" xfId="0" applyFont="1" applyFill="1" applyBorder="1" applyAlignment="1">
      <alignment vertical="center"/>
    </xf>
    <xf numFmtId="0" fontId="8" fillId="2" borderId="0" xfId="0" applyFont="1" applyFill="1" applyBorder="1"/>
    <xf numFmtId="0" fontId="12" fillId="3" borderId="31" xfId="0" applyFont="1" applyFill="1" applyBorder="1" applyAlignment="1">
      <alignment vertical="center"/>
    </xf>
    <xf numFmtId="0" fontId="8" fillId="3" borderId="32" xfId="0" applyFont="1" applyFill="1" applyBorder="1"/>
    <xf numFmtId="0" fontId="16" fillId="0" borderId="0" xfId="0" applyFont="1" applyBorder="1" applyAlignment="1">
      <alignment vertical="center"/>
    </xf>
    <xf numFmtId="0" fontId="16" fillId="0" borderId="33" xfId="0" applyFont="1" applyBorder="1" applyAlignment="1">
      <alignment vertical="center"/>
    </xf>
    <xf numFmtId="0" fontId="17" fillId="0" borderId="0" xfId="0" applyFont="1" applyBorder="1" applyAlignment="1">
      <alignment horizontal="center"/>
    </xf>
    <xf numFmtId="0" fontId="20" fillId="0" borderId="34" xfId="0" applyFont="1" applyBorder="1" applyAlignment="1"/>
    <xf numFmtId="0" fontId="19" fillId="0" borderId="27" xfId="0" applyFont="1" applyBorder="1"/>
    <xf numFmtId="0" fontId="8" fillId="0" borderId="0" xfId="0" applyFont="1" applyAlignment="1"/>
    <xf numFmtId="0" fontId="12" fillId="0" borderId="0" xfId="0" applyFont="1" applyBorder="1" applyAlignment="1">
      <alignment horizontal="right" vertical="center"/>
    </xf>
    <xf numFmtId="0" fontId="12" fillId="0" borderId="29" xfId="0" applyFont="1" applyBorder="1" applyAlignment="1">
      <alignment horizontal="left" vertical="center"/>
    </xf>
    <xf numFmtId="0" fontId="20" fillId="0" borderId="35" xfId="0" applyFont="1" applyBorder="1" applyAlignment="1"/>
    <xf numFmtId="0" fontId="16" fillId="0" borderId="36" xfId="0" applyFont="1" applyBorder="1" applyAlignment="1">
      <alignment horizontal="right"/>
    </xf>
    <xf numFmtId="0" fontId="19" fillId="0" borderId="36" xfId="0" applyFont="1" applyBorder="1" applyAlignment="1"/>
    <xf numFmtId="0" fontId="9" fillId="0" borderId="36" xfId="0" applyFont="1" applyBorder="1" applyAlignment="1"/>
    <xf numFmtId="0" fontId="8" fillId="0" borderId="37" xfId="0" applyFont="1" applyBorder="1" applyAlignment="1"/>
    <xf numFmtId="0" fontId="8" fillId="0" borderId="36" xfId="0" applyFont="1" applyBorder="1" applyAlignment="1"/>
    <xf numFmtId="0" fontId="19" fillId="0" borderId="35" xfId="0" applyFont="1" applyBorder="1" applyAlignment="1"/>
    <xf numFmtId="0" fontId="8" fillId="0" borderId="9" xfId="0" applyFont="1" applyBorder="1"/>
    <xf numFmtId="0" fontId="8" fillId="0" borderId="10" xfId="0" applyFont="1" applyBorder="1"/>
    <xf numFmtId="0" fontId="15" fillId="0" borderId="9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13" xfId="0" applyFont="1" applyBorder="1"/>
    <xf numFmtId="0" fontId="8" fillId="0" borderId="38" xfId="0" applyFont="1" applyBorder="1" applyAlignment="1">
      <alignment vertical="center"/>
    </xf>
    <xf numFmtId="0" fontId="17" fillId="0" borderId="6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8" fillId="0" borderId="39" xfId="0" applyFont="1" applyBorder="1" applyAlignment="1">
      <alignment vertical="center"/>
    </xf>
    <xf numFmtId="0" fontId="10" fillId="0" borderId="2" xfId="0" applyFont="1" applyBorder="1" applyAlignment="1">
      <alignment horizontal="right"/>
    </xf>
    <xf numFmtId="2" fontId="16" fillId="0" borderId="0" xfId="0" applyNumberFormat="1" applyFont="1" applyBorder="1" applyAlignment="1">
      <alignment vertical="center"/>
    </xf>
    <xf numFmtId="2" fontId="16" fillId="0" borderId="7" xfId="0" applyNumberFormat="1" applyFont="1" applyBorder="1" applyAlignment="1">
      <alignment vertical="center"/>
    </xf>
    <xf numFmtId="2" fontId="16" fillId="0" borderId="1" xfId="0" applyNumberFormat="1" applyFont="1" applyBorder="1" applyAlignment="1">
      <alignment vertical="center"/>
    </xf>
    <xf numFmtId="0" fontId="18" fillId="0" borderId="0" xfId="0" applyFont="1" applyBorder="1" applyAlignment="1">
      <alignment horizontal="center" vertical="center"/>
    </xf>
    <xf numFmtId="0" fontId="16" fillId="0" borderId="4" xfId="0" applyFont="1" applyBorder="1"/>
    <xf numFmtId="0" fontId="8" fillId="0" borderId="14" xfId="0" applyFont="1" applyBorder="1"/>
    <xf numFmtId="0" fontId="8" fillId="0" borderId="15" xfId="0" applyFont="1" applyBorder="1"/>
    <xf numFmtId="0" fontId="8" fillId="0" borderId="14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0" xfId="0" applyFont="1" applyAlignment="1">
      <alignment horizontal="right"/>
    </xf>
    <xf numFmtId="0" fontId="25" fillId="0" borderId="0" xfId="0" applyFont="1" applyBorder="1" applyAlignment="1">
      <alignment horizontal="center" textRotation="90"/>
    </xf>
    <xf numFmtId="0" fontId="8" fillId="0" borderId="18" xfId="0" applyFont="1" applyFill="1" applyBorder="1"/>
    <xf numFmtId="2" fontId="8" fillId="0" borderId="18" xfId="0" applyNumberFormat="1" applyFont="1" applyFill="1" applyBorder="1"/>
    <xf numFmtId="2" fontId="8" fillId="0" borderId="0" xfId="0" applyNumberFormat="1" applyFont="1"/>
    <xf numFmtId="0" fontId="8" fillId="0" borderId="19" xfId="0" applyFont="1" applyBorder="1"/>
    <xf numFmtId="0" fontId="8" fillId="0" borderId="18" xfId="0" applyFont="1" applyBorder="1" applyAlignment="1">
      <alignment horizontal="center"/>
    </xf>
    <xf numFmtId="166" fontId="8" fillId="0" borderId="20" xfId="0" applyNumberFormat="1" applyFont="1" applyBorder="1"/>
    <xf numFmtId="0" fontId="9" fillId="0" borderId="14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 vertical="center"/>
    </xf>
    <xf numFmtId="2" fontId="9" fillId="0" borderId="14" xfId="0" applyNumberFormat="1" applyFont="1" applyBorder="1" applyAlignment="1">
      <alignment horizontal="center" vertical="center"/>
    </xf>
    <xf numFmtId="0" fontId="8" fillId="0" borderId="14" xfId="0" applyNumberFormat="1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14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9" fillId="0" borderId="14" xfId="0" applyFont="1" applyBorder="1"/>
    <xf numFmtId="0" fontId="8" fillId="0" borderId="58" xfId="0" applyFont="1" applyBorder="1"/>
    <xf numFmtId="0" fontId="16" fillId="0" borderId="5" xfId="0" applyFont="1" applyBorder="1" applyAlignment="1">
      <alignment vertical="center"/>
    </xf>
    <xf numFmtId="0" fontId="16" fillId="0" borderId="6" xfId="0" applyFont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6" fillId="0" borderId="2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3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8" xfId="0" applyFont="1" applyBorder="1" applyAlignment="1">
      <alignment vertical="center"/>
    </xf>
    <xf numFmtId="0" fontId="19" fillId="0" borderId="5" xfId="0" applyFont="1" applyBorder="1" applyAlignment="1">
      <alignment vertical="center"/>
    </xf>
    <xf numFmtId="0" fontId="19" fillId="0" borderId="6" xfId="0" applyFont="1" applyBorder="1" applyAlignment="1">
      <alignment vertical="center"/>
    </xf>
    <xf numFmtId="0" fontId="19" fillId="0" borderId="7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19" fillId="0" borderId="0" xfId="0" applyFont="1" applyBorder="1" applyAlignment="1">
      <alignment vertical="center"/>
    </xf>
    <xf numFmtId="0" fontId="19" fillId="0" borderId="1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0" fontId="19" fillId="0" borderId="8" xfId="0" applyFont="1" applyBorder="1" applyAlignment="1">
      <alignment vertical="center"/>
    </xf>
    <xf numFmtId="20" fontId="8" fillId="2" borderId="0" xfId="0" applyNumberFormat="1" applyFont="1" applyFill="1" applyBorder="1"/>
    <xf numFmtId="20" fontId="16" fillId="0" borderId="5" xfId="0" applyNumberFormat="1" applyFont="1" applyBorder="1" applyAlignment="1">
      <alignment vertical="center"/>
    </xf>
    <xf numFmtId="20" fontId="19" fillId="0" borderId="5" xfId="0" applyNumberFormat="1" applyFont="1" applyBorder="1" applyAlignment="1">
      <alignment vertical="center"/>
    </xf>
    <xf numFmtId="20" fontId="19" fillId="0" borderId="2" xfId="0" applyNumberFormat="1" applyFont="1" applyBorder="1" applyAlignment="1">
      <alignment vertical="center"/>
    </xf>
    <xf numFmtId="20" fontId="19" fillId="0" borderId="3" xfId="0" applyNumberFormat="1" applyFont="1" applyBorder="1" applyAlignment="1">
      <alignment vertical="center"/>
    </xf>
    <xf numFmtId="20" fontId="8" fillId="0" borderId="4" xfId="0" applyNumberFormat="1" applyFont="1" applyBorder="1"/>
    <xf numFmtId="20" fontId="8" fillId="0" borderId="0" xfId="0" applyNumberFormat="1" applyFont="1" applyBorder="1"/>
    <xf numFmtId="167" fontId="8" fillId="0" borderId="0" xfId="0" applyNumberFormat="1" applyFont="1"/>
    <xf numFmtId="167" fontId="8" fillId="0" borderId="0" xfId="0" applyNumberFormat="1" applyFont="1" applyBorder="1"/>
    <xf numFmtId="20" fontId="8" fillId="0" borderId="0" xfId="0" applyNumberFormat="1" applyFont="1"/>
    <xf numFmtId="20" fontId="14" fillId="0" borderId="0" xfId="0" applyNumberFormat="1" applyFont="1" applyBorder="1" applyAlignment="1"/>
    <xf numFmtId="0" fontId="8" fillId="0" borderId="65" xfId="0" applyFont="1" applyBorder="1" applyAlignment="1">
      <alignment vertical="center"/>
    </xf>
    <xf numFmtId="0" fontId="12" fillId="0" borderId="20" xfId="0" applyFont="1" applyBorder="1" applyAlignment="1">
      <alignment vertical="center"/>
    </xf>
    <xf numFmtId="0" fontId="17" fillId="0" borderId="20" xfId="0" applyFont="1" applyBorder="1" applyAlignment="1"/>
    <xf numFmtId="0" fontId="8" fillId="0" borderId="61" xfId="0" applyFont="1" applyBorder="1"/>
    <xf numFmtId="0" fontId="17" fillId="0" borderId="62" xfId="0" applyFont="1" applyBorder="1" applyAlignment="1">
      <alignment horizontal="center"/>
    </xf>
    <xf numFmtId="0" fontId="8" fillId="0" borderId="63" xfId="0" applyFont="1" applyBorder="1"/>
    <xf numFmtId="0" fontId="8" fillId="0" borderId="64" xfId="0" applyFont="1" applyBorder="1"/>
    <xf numFmtId="0" fontId="17" fillId="0" borderId="18" xfId="0" applyFont="1" applyBorder="1" applyAlignment="1">
      <alignment horizontal="center"/>
    </xf>
    <xf numFmtId="0" fontId="8" fillId="0" borderId="57" xfId="0" applyFont="1" applyBorder="1"/>
    <xf numFmtId="0" fontId="8" fillId="0" borderId="20" xfId="0" applyFont="1" applyBorder="1"/>
    <xf numFmtId="0" fontId="8" fillId="0" borderId="18" xfId="0" applyFont="1" applyBorder="1"/>
    <xf numFmtId="0" fontId="12" fillId="0" borderId="62" xfId="0" applyFont="1" applyBorder="1" applyAlignment="1">
      <alignment horizontal="left" vertical="center"/>
    </xf>
    <xf numFmtId="0" fontId="12" fillId="0" borderId="63" xfId="0" applyFont="1" applyBorder="1" applyAlignment="1">
      <alignment horizontal="left" vertical="center"/>
    </xf>
    <xf numFmtId="0" fontId="12" fillId="0" borderId="64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8" xfId="0" applyBorder="1"/>
    <xf numFmtId="0" fontId="34" fillId="0" borderId="0" xfId="0" applyFont="1" applyBorder="1"/>
    <xf numFmtId="0" fontId="0" fillId="0" borderId="60" xfId="0" applyBorder="1"/>
    <xf numFmtId="0" fontId="0" fillId="0" borderId="61" xfId="0" applyBorder="1"/>
    <xf numFmtId="0" fontId="0" fillId="0" borderId="66" xfId="0" applyBorder="1"/>
    <xf numFmtId="0" fontId="0" fillId="0" borderId="68" xfId="0" applyBorder="1"/>
    <xf numFmtId="0" fontId="0" fillId="0" borderId="69" xfId="0" applyBorder="1"/>
    <xf numFmtId="0" fontId="8" fillId="0" borderId="57" xfId="0" applyFont="1" applyBorder="1" applyAlignment="1">
      <alignment vertical="center"/>
    </xf>
    <xf numFmtId="0" fontId="17" fillId="0" borderId="57" xfId="0" applyFont="1" applyBorder="1" applyAlignment="1">
      <alignment horizontal="center"/>
    </xf>
    <xf numFmtId="0" fontId="12" fillId="0" borderId="18" xfId="0" applyFont="1" applyBorder="1" applyAlignment="1">
      <alignment horizontal="left" vertical="center"/>
    </xf>
    <xf numFmtId="0" fontId="12" fillId="0" borderId="57" xfId="0" applyFont="1" applyBorder="1" applyAlignment="1">
      <alignment horizontal="left" vertical="center"/>
    </xf>
    <xf numFmtId="0" fontId="12" fillId="0" borderId="20" xfId="0" applyFont="1" applyBorder="1" applyAlignment="1">
      <alignment horizontal="left" vertical="center"/>
    </xf>
    <xf numFmtId="0" fontId="12" fillId="0" borderId="59" xfId="0" applyFont="1" applyBorder="1" applyAlignment="1">
      <alignment horizontal="left" vertical="center"/>
    </xf>
    <xf numFmtId="0" fontId="12" fillId="0" borderId="60" xfId="0" applyFont="1" applyBorder="1" applyAlignment="1">
      <alignment horizontal="left" vertical="center"/>
    </xf>
    <xf numFmtId="0" fontId="12" fillId="0" borderId="61" xfId="0" applyFont="1" applyBorder="1" applyAlignment="1">
      <alignment horizontal="left" vertical="center"/>
    </xf>
    <xf numFmtId="0" fontId="8" fillId="0" borderId="57" xfId="0" applyFont="1" applyBorder="1" applyAlignment="1">
      <alignment horizontal="left"/>
    </xf>
    <xf numFmtId="0" fontId="8" fillId="0" borderId="20" xfId="0" applyFont="1" applyBorder="1" applyAlignment="1">
      <alignment horizontal="left"/>
    </xf>
    <xf numFmtId="0" fontId="8" fillId="0" borderId="63" xfId="0" applyFont="1" applyBorder="1" applyAlignment="1">
      <alignment horizontal="left" vertical="center"/>
    </xf>
    <xf numFmtId="0" fontId="8" fillId="0" borderId="57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41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8" fillId="0" borderId="4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45" xfId="0" applyFont="1" applyBorder="1" applyAlignment="1">
      <alignment horizontal="center"/>
    </xf>
    <xf numFmtId="2" fontId="9" fillId="0" borderId="36" xfId="0" applyNumberFormat="1" applyFont="1" applyBorder="1" applyAlignment="1">
      <alignment horizontal="center"/>
    </xf>
    <xf numFmtId="2" fontId="16" fillId="0" borderId="36" xfId="0" applyNumberFormat="1" applyFont="1" applyBorder="1" applyAlignment="1">
      <alignment horizontal="center"/>
    </xf>
    <xf numFmtId="0" fontId="20" fillId="5" borderId="46" xfId="0" applyFont="1" applyFill="1" applyBorder="1" applyAlignment="1">
      <alignment horizontal="center" vertical="center"/>
    </xf>
    <xf numFmtId="0" fontId="20" fillId="5" borderId="0" xfId="0" applyFont="1" applyFill="1" applyBorder="1" applyAlignment="1">
      <alignment horizontal="center" vertical="center"/>
    </xf>
    <xf numFmtId="0" fontId="16" fillId="0" borderId="47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48" xfId="0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48" xfId="0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left" vertical="center"/>
    </xf>
    <xf numFmtId="0" fontId="19" fillId="0" borderId="48" xfId="0" applyFont="1" applyBorder="1" applyAlignment="1">
      <alignment horizontal="left" vertical="center"/>
    </xf>
    <xf numFmtId="2" fontId="16" fillId="0" borderId="47" xfId="0" applyNumberFormat="1" applyFont="1" applyBorder="1" applyAlignment="1">
      <alignment horizontal="right" vertical="center"/>
    </xf>
    <xf numFmtId="0" fontId="16" fillId="0" borderId="0" xfId="0" applyFont="1" applyBorder="1" applyAlignment="1">
      <alignment horizontal="right" vertical="center"/>
    </xf>
    <xf numFmtId="0" fontId="12" fillId="0" borderId="59" xfId="0" applyFont="1" applyBorder="1" applyAlignment="1">
      <alignment horizontal="left" vertical="top"/>
    </xf>
    <xf numFmtId="0" fontId="12" fillId="0" borderId="60" xfId="0" applyFont="1" applyBorder="1" applyAlignment="1">
      <alignment horizontal="left" vertical="top"/>
    </xf>
    <xf numFmtId="0" fontId="12" fillId="0" borderId="61" xfId="0" applyFont="1" applyBorder="1" applyAlignment="1">
      <alignment horizontal="left" vertical="top"/>
    </xf>
    <xf numFmtId="0" fontId="12" fillId="0" borderId="62" xfId="0" applyFont="1" applyBorder="1" applyAlignment="1">
      <alignment horizontal="left" vertical="top"/>
    </xf>
    <xf numFmtId="0" fontId="12" fillId="0" borderId="63" xfId="0" applyFont="1" applyBorder="1" applyAlignment="1">
      <alignment horizontal="left" vertical="top"/>
    </xf>
    <xf numFmtId="0" fontId="12" fillId="0" borderId="64" xfId="0" applyFont="1" applyBorder="1" applyAlignment="1">
      <alignment horizontal="left" vertical="top"/>
    </xf>
    <xf numFmtId="0" fontId="8" fillId="0" borderId="18" xfId="0" applyFont="1" applyBorder="1" applyAlignment="1">
      <alignment horizontal="left" vertical="center"/>
    </xf>
    <xf numFmtId="0" fontId="29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12" fillId="0" borderId="14" xfId="0" applyFont="1" applyBorder="1" applyAlignment="1">
      <alignment horizontal="left" vertical="center"/>
    </xf>
    <xf numFmtId="0" fontId="12" fillId="0" borderId="57" xfId="0" applyFont="1" applyBorder="1" applyAlignment="1">
      <alignment horizontal="center" vertical="center"/>
    </xf>
    <xf numFmtId="0" fontId="9" fillId="0" borderId="57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20" fontId="8" fillId="0" borderId="18" xfId="0" applyNumberFormat="1" applyFont="1" applyFill="1" applyBorder="1" applyAlignment="1">
      <alignment horizontal="center"/>
    </xf>
    <xf numFmtId="20" fontId="8" fillId="0" borderId="57" xfId="0" applyNumberFormat="1" applyFont="1" applyFill="1" applyBorder="1" applyAlignment="1">
      <alignment horizontal="center"/>
    </xf>
    <xf numFmtId="20" fontId="8" fillId="0" borderId="20" xfId="0" applyNumberFormat="1" applyFont="1" applyFill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26" fillId="0" borderId="0" xfId="0" applyFont="1" applyBorder="1" applyAlignment="1">
      <alignment horizontal="right" vertical="center"/>
    </xf>
    <xf numFmtId="0" fontId="13" fillId="0" borderId="0" xfId="0" applyFont="1" applyBorder="1" applyAlignment="1">
      <alignment horizontal="right" vertical="center"/>
    </xf>
    <xf numFmtId="0" fontId="32" fillId="0" borderId="0" xfId="0" applyFont="1" applyBorder="1" applyAlignment="1">
      <alignment horizontal="left"/>
    </xf>
    <xf numFmtId="20" fontId="33" fillId="0" borderId="0" xfId="0" applyNumberFormat="1" applyFont="1" applyBorder="1" applyAlignment="1">
      <alignment horizontal="right" vertical="center"/>
    </xf>
    <xf numFmtId="20" fontId="24" fillId="0" borderId="0" xfId="0" applyNumberFormat="1" applyFont="1" applyBorder="1" applyAlignment="1">
      <alignment horizontal="right" vertical="center"/>
    </xf>
    <xf numFmtId="0" fontId="27" fillId="6" borderId="21" xfId="0" applyFont="1" applyFill="1" applyBorder="1" applyAlignment="1">
      <alignment horizontal="left"/>
    </xf>
    <xf numFmtId="0" fontId="27" fillId="4" borderId="22" xfId="0" applyFont="1" applyFill="1" applyBorder="1" applyAlignment="1">
      <alignment horizontal="left"/>
    </xf>
    <xf numFmtId="0" fontId="27" fillId="4" borderId="23" xfId="0" applyFont="1" applyFill="1" applyBorder="1" applyAlignment="1">
      <alignment horizontal="left"/>
    </xf>
    <xf numFmtId="0" fontId="16" fillId="0" borderId="38" xfId="0" applyFont="1" applyBorder="1" applyAlignment="1">
      <alignment horizontal="left"/>
    </xf>
    <xf numFmtId="0" fontId="21" fillId="3" borderId="49" xfId="0" applyFont="1" applyFill="1" applyBorder="1" applyAlignment="1">
      <alignment horizontal="left" vertical="center"/>
    </xf>
    <xf numFmtId="0" fontId="21" fillId="3" borderId="50" xfId="0" applyFont="1" applyFill="1" applyBorder="1" applyAlignment="1">
      <alignment horizontal="left" vertical="center"/>
    </xf>
    <xf numFmtId="0" fontId="21" fillId="3" borderId="51" xfId="0" applyFont="1" applyFill="1" applyBorder="1" applyAlignment="1">
      <alignment horizontal="left" vertical="center"/>
    </xf>
    <xf numFmtId="20" fontId="12" fillId="0" borderId="18" xfId="0" applyNumberFormat="1" applyFont="1" applyBorder="1" applyAlignment="1">
      <alignment horizontal="left" vertical="center"/>
    </xf>
    <xf numFmtId="20" fontId="12" fillId="0" borderId="57" xfId="0" applyNumberFormat="1" applyFont="1" applyBorder="1" applyAlignment="1">
      <alignment horizontal="left" vertical="center"/>
    </xf>
    <xf numFmtId="0" fontId="8" fillId="0" borderId="14" xfId="0" applyFont="1" applyBorder="1" applyAlignment="1">
      <alignment horizontal="left"/>
    </xf>
    <xf numFmtId="0" fontId="8" fillId="0" borderId="18" xfId="0" applyFont="1" applyBorder="1" applyAlignment="1">
      <alignment horizontal="left"/>
    </xf>
    <xf numFmtId="0" fontId="12" fillId="0" borderId="0" xfId="0" applyFont="1" applyBorder="1" applyAlignment="1">
      <alignment horizontal="left" vertical="center"/>
    </xf>
    <xf numFmtId="0" fontId="12" fillId="2" borderId="0" xfId="0" applyFont="1" applyFill="1" applyBorder="1" applyAlignment="1">
      <alignment horizontal="left" vertical="center"/>
    </xf>
    <xf numFmtId="0" fontId="12" fillId="3" borderId="40" xfId="0" applyFont="1" applyFill="1" applyBorder="1" applyAlignment="1">
      <alignment horizontal="left" vertical="center"/>
    </xf>
    <xf numFmtId="0" fontId="12" fillId="3" borderId="31" xfId="0" applyFont="1" applyFill="1" applyBorder="1" applyAlignment="1">
      <alignment horizontal="left" vertical="center"/>
    </xf>
    <xf numFmtId="0" fontId="16" fillId="0" borderId="37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20" fillId="0" borderId="36" xfId="0" applyFont="1" applyBorder="1" applyAlignment="1">
      <alignment horizontal="right"/>
    </xf>
    <xf numFmtId="0" fontId="16" fillId="0" borderId="36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16" fillId="0" borderId="57" xfId="0" applyFont="1" applyBorder="1" applyAlignment="1">
      <alignment horizontal="left"/>
    </xf>
    <xf numFmtId="0" fontId="16" fillId="0" borderId="20" xfId="0" applyFont="1" applyBorder="1" applyAlignment="1">
      <alignment horizontal="left"/>
    </xf>
    <xf numFmtId="0" fontId="16" fillId="0" borderId="46" xfId="0" applyFont="1" applyBorder="1" applyAlignment="1">
      <alignment horizontal="center" vertical="center"/>
    </xf>
    <xf numFmtId="0" fontId="20" fillId="5" borderId="52" xfId="0" applyFont="1" applyFill="1" applyBorder="1" applyAlignment="1">
      <alignment horizontal="center" vertical="center"/>
    </xf>
    <xf numFmtId="0" fontId="8" fillId="0" borderId="47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8" fillId="0" borderId="52" xfId="0" applyFont="1" applyBorder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right" vertical="center"/>
    </xf>
    <xf numFmtId="2" fontId="16" fillId="0" borderId="17" xfId="0" applyNumberFormat="1" applyFont="1" applyBorder="1" applyAlignment="1">
      <alignment horizontal="center"/>
    </xf>
    <xf numFmtId="2" fontId="16" fillId="0" borderId="24" xfId="0" applyNumberFormat="1" applyFont="1" applyBorder="1" applyAlignment="1">
      <alignment horizontal="center"/>
    </xf>
    <xf numFmtId="2" fontId="16" fillId="0" borderId="25" xfId="0" applyNumberFormat="1" applyFont="1" applyBorder="1" applyAlignment="1">
      <alignment horizontal="center"/>
    </xf>
    <xf numFmtId="0" fontId="28" fillId="0" borderId="5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textRotation="90"/>
    </xf>
    <xf numFmtId="0" fontId="19" fillId="0" borderId="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6" fillId="0" borderId="47" xfId="0" applyFont="1" applyBorder="1" applyAlignment="1">
      <alignment horizontal="right" vertical="center"/>
    </xf>
    <xf numFmtId="2" fontId="16" fillId="0" borderId="33" xfId="0" applyNumberFormat="1" applyFont="1" applyBorder="1" applyAlignment="1">
      <alignment horizontal="center" vertical="center"/>
    </xf>
    <xf numFmtId="0" fontId="16" fillId="0" borderId="54" xfId="0" applyFont="1" applyBorder="1" applyAlignment="1">
      <alignment horizontal="right" vertical="center"/>
    </xf>
    <xf numFmtId="0" fontId="16" fillId="0" borderId="33" xfId="0" applyFont="1" applyBorder="1" applyAlignment="1">
      <alignment horizontal="right" vertical="center"/>
    </xf>
    <xf numFmtId="0" fontId="19" fillId="0" borderId="33" xfId="0" applyFont="1" applyBorder="1" applyAlignment="1">
      <alignment horizontal="left" vertical="center"/>
    </xf>
    <xf numFmtId="0" fontId="19" fillId="0" borderId="55" xfId="0" applyFont="1" applyBorder="1" applyAlignment="1">
      <alignment horizontal="left" vertical="center"/>
    </xf>
    <xf numFmtId="0" fontId="16" fillId="0" borderId="0" xfId="0" applyFont="1" applyBorder="1" applyAlignment="1">
      <alignment horizontal="center"/>
    </xf>
    <xf numFmtId="0" fontId="16" fillId="0" borderId="53" xfId="0" applyFont="1" applyBorder="1" applyAlignment="1">
      <alignment horizontal="center" vertical="center"/>
    </xf>
    <xf numFmtId="0" fontId="16" fillId="0" borderId="33" xfId="0" applyFont="1" applyBorder="1" applyAlignment="1">
      <alignment horizontal="center" vertical="center"/>
    </xf>
    <xf numFmtId="0" fontId="16" fillId="0" borderId="54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0" borderId="55" xfId="0" applyFont="1" applyBorder="1" applyAlignment="1">
      <alignment horizontal="center" vertical="center"/>
    </xf>
    <xf numFmtId="0" fontId="8" fillId="0" borderId="54" xfId="0" applyFont="1" applyBorder="1" applyAlignment="1">
      <alignment horizontal="left" vertical="center"/>
    </xf>
    <xf numFmtId="0" fontId="8" fillId="0" borderId="33" xfId="0" applyFont="1" applyBorder="1" applyAlignment="1">
      <alignment horizontal="left" vertical="center"/>
    </xf>
    <xf numFmtId="0" fontId="8" fillId="0" borderId="56" xfId="0" applyFont="1" applyBorder="1" applyAlignment="1">
      <alignment horizontal="left" vertical="center"/>
    </xf>
    <xf numFmtId="0" fontId="8" fillId="0" borderId="59" xfId="0" applyFont="1" applyBorder="1" applyAlignment="1">
      <alignment horizontal="left" vertical="top"/>
    </xf>
    <xf numFmtId="0" fontId="8" fillId="0" borderId="60" xfId="0" applyFont="1" applyBorder="1" applyAlignment="1">
      <alignment horizontal="left" vertical="top"/>
    </xf>
    <xf numFmtId="0" fontId="8" fillId="0" borderId="67" xfId="0" applyFont="1" applyBorder="1" applyAlignment="1">
      <alignment horizontal="left" vertical="top"/>
    </xf>
    <xf numFmtId="0" fontId="8" fillId="0" borderId="68" xfId="0" applyFont="1" applyBorder="1" applyAlignment="1">
      <alignment horizontal="left" vertical="top"/>
    </xf>
    <xf numFmtId="0" fontId="8" fillId="0" borderId="29" xfId="0" applyFont="1" applyBorder="1" applyAlignment="1">
      <alignment horizontal="left" vertical="center"/>
    </xf>
    <xf numFmtId="0" fontId="11" fillId="0" borderId="6" xfId="0" applyFont="1" applyBorder="1" applyAlignment="1">
      <alignment horizontal="center" vertical="center"/>
    </xf>
    <xf numFmtId="0" fontId="34" fillId="0" borderId="57" xfId="0" applyFont="1" applyBorder="1" applyAlignment="1">
      <alignment horizontal="left"/>
    </xf>
    <xf numFmtId="0" fontId="34" fillId="0" borderId="20" xfId="0" applyFont="1" applyBorder="1" applyAlignment="1">
      <alignment horizontal="left"/>
    </xf>
    <xf numFmtId="0" fontId="0" fillId="0" borderId="57" xfId="0" applyBorder="1" applyAlignment="1">
      <alignment horizontal="left"/>
    </xf>
    <xf numFmtId="0" fontId="0" fillId="0" borderId="20" xfId="0" applyBorder="1" applyAlignment="1">
      <alignment horizontal="left"/>
    </xf>
    <xf numFmtId="0" fontId="34" fillId="0" borderId="18" xfId="0" applyFont="1" applyBorder="1" applyAlignment="1">
      <alignment horizontal="left" vertical="center"/>
    </xf>
    <xf numFmtId="0" fontId="34" fillId="0" borderId="57" xfId="0" applyFont="1" applyBorder="1" applyAlignment="1">
      <alignment horizontal="left" vertical="center"/>
    </xf>
    <xf numFmtId="0" fontId="34" fillId="0" borderId="18" xfId="0" applyFont="1" applyBorder="1" applyAlignment="1">
      <alignment horizontal="left"/>
    </xf>
  </cellXfs>
  <cellStyles count="8">
    <cellStyle name="Normal" xfId="0" builtinId="0"/>
    <cellStyle name="Normal 2" xfId="1" xr:uid="{A07AC729-1AFA-4524-87AE-25FFE8B5C5BC}"/>
    <cellStyle name="Normal 3" xfId="2" xr:uid="{F3E9BE93-1450-4277-8631-7D6163400E13}"/>
    <cellStyle name="Normal 4" xfId="3" xr:uid="{2A0A3042-483F-4770-BA4A-1FA24A4D025A}"/>
    <cellStyle name="Normal 5" xfId="4" xr:uid="{47803977-F312-45D5-879B-0D670A17CD43}"/>
    <cellStyle name="Normal 6" xfId="5" xr:uid="{97268FFC-BFF8-4F9F-B5BE-5E045ABFCE15}"/>
    <cellStyle name="Normal 7" xfId="6" xr:uid="{4FC890D7-9976-478F-A044-78C121ED3590}"/>
    <cellStyle name="Normal 8" xfId="7" xr:uid="{F3522CA8-B55C-49DD-832B-5A31AD90C447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768632</xdr:colOff>
      <xdr:row>32</xdr:row>
      <xdr:rowOff>72280</xdr:rowOff>
    </xdr:from>
    <xdr:to>
      <xdr:col>59</xdr:col>
      <xdr:colOff>43490</xdr:colOff>
      <xdr:row>42</xdr:row>
      <xdr:rowOff>120998</xdr:rowOff>
    </xdr:to>
    <xdr:pic>
      <xdr:nvPicPr>
        <xdr:cNvPr id="85" name="Image 22" descr="20140530105422528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753" t="15762" r="33401" b="50287"/>
        <a:stretch>
          <a:fillRect/>
        </a:stretch>
      </xdr:blipFill>
      <xdr:spPr bwMode="auto">
        <a:xfrm>
          <a:off x="10594036" y="5735992"/>
          <a:ext cx="1985819" cy="2144218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104775</xdr:colOff>
      <xdr:row>0</xdr:row>
      <xdr:rowOff>66675</xdr:rowOff>
    </xdr:from>
    <xdr:to>
      <xdr:col>18</xdr:col>
      <xdr:colOff>0</xdr:colOff>
      <xdr:row>2</xdr:row>
      <xdr:rowOff>161925</xdr:rowOff>
    </xdr:to>
    <xdr:pic>
      <xdr:nvPicPr>
        <xdr:cNvPr id="72362" name="Image 13">
          <a:extLst>
            <a:ext uri="{FF2B5EF4-FFF2-40B4-BE49-F238E27FC236}">
              <a16:creationId xmlns:a16="http://schemas.microsoft.com/office/drawing/2014/main" id="{00000000-0008-0000-0000-0000AA1A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66675"/>
          <a:ext cx="287655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76</xdr:row>
          <xdr:rowOff>45720</xdr:rowOff>
        </xdr:from>
        <xdr:to>
          <xdr:col>52</xdr:col>
          <xdr:colOff>106680</xdr:colOff>
          <xdr:row>81</xdr:row>
          <xdr:rowOff>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0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1" u="sng" strike="noStrike" baseline="0">
                  <a:solidFill>
                    <a:srgbClr val="FF0000"/>
                  </a:solidFill>
                  <a:latin typeface="Tw Cen MT"/>
                </a:rPr>
                <a:t>EXPORTER LA FICHE OUVRAGE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38100</xdr:colOff>
          <xdr:row>65</xdr:row>
          <xdr:rowOff>60960</xdr:rowOff>
        </xdr:from>
        <xdr:to>
          <xdr:col>51</xdr:col>
          <xdr:colOff>312420</xdr:colOff>
          <xdr:row>66</xdr:row>
          <xdr:rowOff>106680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0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327660</xdr:colOff>
          <xdr:row>65</xdr:row>
          <xdr:rowOff>60960</xdr:rowOff>
        </xdr:from>
        <xdr:to>
          <xdr:col>51</xdr:col>
          <xdr:colOff>601980</xdr:colOff>
          <xdr:row>66</xdr:row>
          <xdr:rowOff>106680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0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609600</xdr:colOff>
          <xdr:row>65</xdr:row>
          <xdr:rowOff>60960</xdr:rowOff>
        </xdr:from>
        <xdr:to>
          <xdr:col>51</xdr:col>
          <xdr:colOff>883920</xdr:colOff>
          <xdr:row>66</xdr:row>
          <xdr:rowOff>106680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0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899160</xdr:colOff>
          <xdr:row>65</xdr:row>
          <xdr:rowOff>60960</xdr:rowOff>
        </xdr:from>
        <xdr:to>
          <xdr:col>51</xdr:col>
          <xdr:colOff>1173480</xdr:colOff>
          <xdr:row>66</xdr:row>
          <xdr:rowOff>106680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0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45720</xdr:colOff>
          <xdr:row>68</xdr:row>
          <xdr:rowOff>7620</xdr:rowOff>
        </xdr:from>
        <xdr:to>
          <xdr:col>51</xdr:col>
          <xdr:colOff>327660</xdr:colOff>
          <xdr:row>69</xdr:row>
          <xdr:rowOff>60960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0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335280</xdr:colOff>
          <xdr:row>68</xdr:row>
          <xdr:rowOff>7620</xdr:rowOff>
        </xdr:from>
        <xdr:to>
          <xdr:col>51</xdr:col>
          <xdr:colOff>609600</xdr:colOff>
          <xdr:row>69</xdr:row>
          <xdr:rowOff>60960</xdr:rowOff>
        </xdr:to>
        <xdr:sp macro="" textlink="">
          <xdr:nvSpPr>
            <xdr:cNvPr id="71687" name="Button 7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0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617220</xdr:colOff>
          <xdr:row>68</xdr:row>
          <xdr:rowOff>7620</xdr:rowOff>
        </xdr:from>
        <xdr:to>
          <xdr:col>51</xdr:col>
          <xdr:colOff>899160</xdr:colOff>
          <xdr:row>69</xdr:row>
          <xdr:rowOff>60960</xdr:rowOff>
        </xdr:to>
        <xdr:sp macro="" textlink="">
          <xdr:nvSpPr>
            <xdr:cNvPr id="71688" name="Button 8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0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60960</xdr:colOff>
          <xdr:row>70</xdr:row>
          <xdr:rowOff>22860</xdr:rowOff>
        </xdr:from>
        <xdr:to>
          <xdr:col>51</xdr:col>
          <xdr:colOff>335280</xdr:colOff>
          <xdr:row>72</xdr:row>
          <xdr:rowOff>7620</xdr:rowOff>
        </xdr:to>
        <xdr:sp macro="" textlink="">
          <xdr:nvSpPr>
            <xdr:cNvPr id="71689" name="Button 9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0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342900</xdr:colOff>
          <xdr:row>70</xdr:row>
          <xdr:rowOff>22860</xdr:rowOff>
        </xdr:from>
        <xdr:to>
          <xdr:col>51</xdr:col>
          <xdr:colOff>617220</xdr:colOff>
          <xdr:row>72</xdr:row>
          <xdr:rowOff>7620</xdr:rowOff>
        </xdr:to>
        <xdr:sp macro="" textlink="">
          <xdr:nvSpPr>
            <xdr:cNvPr id="71690" name="Button 10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0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632460</xdr:colOff>
          <xdr:row>70</xdr:row>
          <xdr:rowOff>22860</xdr:rowOff>
        </xdr:from>
        <xdr:to>
          <xdr:col>51</xdr:col>
          <xdr:colOff>906780</xdr:colOff>
          <xdr:row>72</xdr:row>
          <xdr:rowOff>7620</xdr:rowOff>
        </xdr:to>
        <xdr:sp macro="" textlink="">
          <xdr:nvSpPr>
            <xdr:cNvPr id="71691" name="Button 11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0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30480</xdr:colOff>
          <xdr:row>73</xdr:row>
          <xdr:rowOff>7620</xdr:rowOff>
        </xdr:from>
        <xdr:to>
          <xdr:col>51</xdr:col>
          <xdr:colOff>304800</xdr:colOff>
          <xdr:row>74</xdr:row>
          <xdr:rowOff>182880</xdr:rowOff>
        </xdr:to>
        <xdr:sp macro="" textlink="">
          <xdr:nvSpPr>
            <xdr:cNvPr id="71692" name="Button 12" hidden="1">
              <a:extLst>
                <a:ext uri="{63B3BB69-23CF-44E3-9099-C40C66FF867C}">
                  <a14:compatExt spid="_x0000_s71692"/>
                </a:ext>
                <a:ext uri="{FF2B5EF4-FFF2-40B4-BE49-F238E27FC236}">
                  <a16:creationId xmlns:a16="http://schemas.microsoft.com/office/drawing/2014/main" id="{00000000-0008-0000-0000-00000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312420</xdr:colOff>
          <xdr:row>73</xdr:row>
          <xdr:rowOff>7620</xdr:rowOff>
        </xdr:from>
        <xdr:to>
          <xdr:col>51</xdr:col>
          <xdr:colOff>594360</xdr:colOff>
          <xdr:row>74</xdr:row>
          <xdr:rowOff>182880</xdr:rowOff>
        </xdr:to>
        <xdr:sp macro="" textlink="">
          <xdr:nvSpPr>
            <xdr:cNvPr id="71693" name="Button 13" hidden="1">
              <a:extLst>
                <a:ext uri="{63B3BB69-23CF-44E3-9099-C40C66FF867C}">
                  <a14:compatExt spid="_x0000_s71693"/>
                </a:ext>
                <a:ext uri="{FF2B5EF4-FFF2-40B4-BE49-F238E27FC236}">
                  <a16:creationId xmlns:a16="http://schemas.microsoft.com/office/drawing/2014/main" id="{00000000-0008-0000-0000-00000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601980</xdr:colOff>
          <xdr:row>73</xdr:row>
          <xdr:rowOff>7620</xdr:rowOff>
        </xdr:from>
        <xdr:to>
          <xdr:col>51</xdr:col>
          <xdr:colOff>876300</xdr:colOff>
          <xdr:row>74</xdr:row>
          <xdr:rowOff>182880</xdr:rowOff>
        </xdr:to>
        <xdr:sp macro="" textlink="">
          <xdr:nvSpPr>
            <xdr:cNvPr id="71694" name="Button 14" hidden="1">
              <a:extLst>
                <a:ext uri="{63B3BB69-23CF-44E3-9099-C40C66FF867C}">
                  <a14:compatExt spid="_x0000_s71694"/>
                </a:ext>
                <a:ext uri="{FF2B5EF4-FFF2-40B4-BE49-F238E27FC236}">
                  <a16:creationId xmlns:a16="http://schemas.microsoft.com/office/drawing/2014/main" id="{00000000-0008-0000-0000-00000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883920</xdr:colOff>
          <xdr:row>73</xdr:row>
          <xdr:rowOff>7620</xdr:rowOff>
        </xdr:from>
        <xdr:to>
          <xdr:col>51</xdr:col>
          <xdr:colOff>1165860</xdr:colOff>
          <xdr:row>74</xdr:row>
          <xdr:rowOff>182880</xdr:rowOff>
        </xdr:to>
        <xdr:sp macro="" textlink="">
          <xdr:nvSpPr>
            <xdr:cNvPr id="71695" name="Button 15" hidden="1">
              <a:extLst>
                <a:ext uri="{63B3BB69-23CF-44E3-9099-C40C66FF867C}">
                  <a14:compatExt spid="_x0000_s71695"/>
                </a:ext>
                <a:ext uri="{FF2B5EF4-FFF2-40B4-BE49-F238E27FC236}">
                  <a16:creationId xmlns:a16="http://schemas.microsoft.com/office/drawing/2014/main" id="{00000000-0008-0000-0000-00000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169985</xdr:colOff>
      <xdr:row>33</xdr:row>
      <xdr:rowOff>46161</xdr:rowOff>
    </xdr:from>
    <xdr:to>
      <xdr:col>40</xdr:col>
      <xdr:colOff>155076</xdr:colOff>
      <xdr:row>44</xdr:row>
      <xdr:rowOff>122760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5984045" y="5662101"/>
          <a:ext cx="1996771" cy="2217819"/>
          <a:chOff x="5962650" y="5611467"/>
          <a:chExt cx="1975816" cy="2257824"/>
        </a:xfrm>
      </xdr:grpSpPr>
      <xdr:pic>
        <xdr:nvPicPr>
          <xdr:cNvPr id="33" name="Image 22" descr="20140530105422528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1753" t="15762" r="33401" b="50287"/>
          <a:stretch>
            <a:fillRect/>
          </a:stretch>
        </xdr:blipFill>
        <xdr:spPr bwMode="auto">
          <a:xfrm>
            <a:off x="5962650" y="5762625"/>
            <a:ext cx="1975816" cy="210666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 bwMode="auto">
          <a:xfrm>
            <a:off x="6677025" y="5611467"/>
            <a:ext cx="552423" cy="2554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 b="1">
                <a:latin typeface="Tw Cen MT" panose="020B0602020104020603" pitchFamily="34" charset="0"/>
              </a:rPr>
              <a:t>fs</a:t>
            </a:r>
          </a:p>
        </xdr:txBody>
      </xdr:sp>
    </xdr:grpSp>
    <xdr:clientData/>
  </xdr:twoCellAnchor>
  <xdr:twoCellAnchor>
    <xdr:from>
      <xdr:col>50</xdr:col>
      <xdr:colOff>221718</xdr:colOff>
      <xdr:row>33</xdr:row>
      <xdr:rowOff>147814</xdr:rowOff>
    </xdr:from>
    <xdr:to>
      <xdr:col>51</xdr:col>
      <xdr:colOff>395653</xdr:colOff>
      <xdr:row>34</xdr:row>
      <xdr:rowOff>189227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798006" y="5994699"/>
          <a:ext cx="423051" cy="2319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fe1</a:t>
          </a:r>
        </a:p>
      </xdr:txBody>
    </xdr:sp>
    <xdr:clientData/>
  </xdr:twoCellAnchor>
  <xdr:twoCellAnchor>
    <xdr:from>
      <xdr:col>50</xdr:col>
      <xdr:colOff>215348</xdr:colOff>
      <xdr:row>36</xdr:row>
      <xdr:rowOff>41413</xdr:rowOff>
    </xdr:from>
    <xdr:to>
      <xdr:col>51</xdr:col>
      <xdr:colOff>389283</xdr:colOff>
      <xdr:row>37</xdr:row>
      <xdr:rowOff>82826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740348" y="6419022"/>
          <a:ext cx="422413" cy="223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fe3</a:t>
          </a:r>
        </a:p>
      </xdr:txBody>
    </xdr:sp>
    <xdr:clientData/>
  </xdr:twoCellAnchor>
  <xdr:twoCellAnchor>
    <xdr:from>
      <xdr:col>50</xdr:col>
      <xdr:colOff>210378</xdr:colOff>
      <xdr:row>34</xdr:row>
      <xdr:rowOff>168966</xdr:rowOff>
    </xdr:from>
    <xdr:to>
      <xdr:col>51</xdr:col>
      <xdr:colOff>384313</xdr:colOff>
      <xdr:row>36</xdr:row>
      <xdr:rowOff>28161</xdr:rowOff>
    </xdr:to>
    <xdr:sp macro="" textlink="">
      <xdr:nvSpPr>
        <xdr:cNvPr id="82" name="ZoneText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9735378" y="6182140"/>
          <a:ext cx="422413" cy="223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fe2</a:t>
          </a:r>
        </a:p>
      </xdr:txBody>
    </xdr:sp>
    <xdr:clientData/>
  </xdr:twoCellAnchor>
  <xdr:twoCellAnchor>
    <xdr:from>
      <xdr:col>50</xdr:col>
      <xdr:colOff>202096</xdr:colOff>
      <xdr:row>37</xdr:row>
      <xdr:rowOff>77857</xdr:rowOff>
    </xdr:from>
    <xdr:to>
      <xdr:col>51</xdr:col>
      <xdr:colOff>376031</xdr:colOff>
      <xdr:row>38</xdr:row>
      <xdr:rowOff>119270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9727096" y="6637683"/>
          <a:ext cx="422413" cy="223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fe4</a:t>
          </a:r>
        </a:p>
      </xdr:txBody>
    </xdr:sp>
    <xdr:clientData/>
  </xdr:twoCellAnchor>
  <xdr:twoCellAnchor>
    <xdr:from>
      <xdr:col>50</xdr:col>
      <xdr:colOff>205409</xdr:colOff>
      <xdr:row>38</xdr:row>
      <xdr:rowOff>163997</xdr:rowOff>
    </xdr:from>
    <xdr:to>
      <xdr:col>51</xdr:col>
      <xdr:colOff>379344</xdr:colOff>
      <xdr:row>39</xdr:row>
      <xdr:rowOff>205409</xdr:rowOff>
    </xdr:to>
    <xdr:sp macro="" textlink="">
      <xdr:nvSpPr>
        <xdr:cNvPr id="84" name="ZoneText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9730409" y="6906040"/>
          <a:ext cx="422413" cy="223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fe5</a:t>
          </a:r>
        </a:p>
      </xdr:txBody>
    </xdr:sp>
    <xdr:clientData/>
  </xdr:twoCellAnchor>
  <xdr:twoCellAnchor>
    <xdr:from>
      <xdr:col>50</xdr:col>
      <xdr:colOff>208722</xdr:colOff>
      <xdr:row>41</xdr:row>
      <xdr:rowOff>117615</xdr:rowOff>
    </xdr:from>
    <xdr:to>
      <xdr:col>51</xdr:col>
      <xdr:colOff>382657</xdr:colOff>
      <xdr:row>43</xdr:row>
      <xdr:rowOff>34788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9733722" y="7646506"/>
          <a:ext cx="422413" cy="223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EPG</a:t>
          </a:r>
        </a:p>
      </xdr:txBody>
    </xdr:sp>
    <xdr:clientData/>
  </xdr:twoCellAnchor>
  <xdr:twoCellAnchor>
    <xdr:from>
      <xdr:col>50</xdr:col>
      <xdr:colOff>203752</xdr:colOff>
      <xdr:row>40</xdr:row>
      <xdr:rowOff>270014</xdr:rowOff>
    </xdr:from>
    <xdr:to>
      <xdr:col>51</xdr:col>
      <xdr:colOff>472109</xdr:colOff>
      <xdr:row>41</xdr:row>
      <xdr:rowOff>96079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9728752" y="7401340"/>
          <a:ext cx="516835" cy="223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Grille</a:t>
          </a:r>
        </a:p>
      </xdr:txBody>
    </xdr:sp>
    <xdr:clientData/>
  </xdr:twoCellAnchor>
  <xdr:twoCellAnchor>
    <xdr:from>
      <xdr:col>50</xdr:col>
      <xdr:colOff>190501</xdr:colOff>
      <xdr:row>40</xdr:row>
      <xdr:rowOff>24849</xdr:rowOff>
    </xdr:from>
    <xdr:to>
      <xdr:col>51</xdr:col>
      <xdr:colOff>438979</xdr:colOff>
      <xdr:row>40</xdr:row>
      <xdr:rowOff>248479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9715501" y="7156175"/>
          <a:ext cx="496956" cy="223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latin typeface="Tw Cen MT" panose="020B0602020104020603" pitchFamily="34" charset="0"/>
            </a:rPr>
            <a:t>aval</a:t>
          </a:r>
        </a:p>
      </xdr:txBody>
    </xdr:sp>
    <xdr:clientData/>
  </xdr:twoCellAnchor>
  <xdr:twoCellAnchor>
    <xdr:from>
      <xdr:col>54</xdr:col>
      <xdr:colOff>142872</xdr:colOff>
      <xdr:row>34</xdr:row>
      <xdr:rowOff>51194</xdr:rowOff>
    </xdr:from>
    <xdr:to>
      <xdr:col>55</xdr:col>
      <xdr:colOff>171916</xdr:colOff>
      <xdr:row>36</xdr:row>
      <xdr:rowOff>61319</xdr:rowOff>
    </xdr:to>
    <xdr:sp macro="[0]!UNEH" textlink="">
      <xdr:nvSpPr>
        <xdr:cNvPr id="36" name="Flèche vers le bas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1844184">
          <a:off x="11537153" y="6040038"/>
          <a:ext cx="207638" cy="379219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67796</xdr:colOff>
      <xdr:row>36</xdr:row>
      <xdr:rowOff>14351</xdr:rowOff>
    </xdr:from>
    <xdr:to>
      <xdr:col>57</xdr:col>
      <xdr:colOff>87446</xdr:colOff>
      <xdr:row>37</xdr:row>
      <xdr:rowOff>45776</xdr:rowOff>
    </xdr:to>
    <xdr:sp macro="[0]!DEUXH" textlink="">
      <xdr:nvSpPr>
        <xdr:cNvPr id="42" name="Flèche vers le ba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 rot="3420000">
          <a:off x="11724081" y="6288879"/>
          <a:ext cx="210018" cy="376838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127328</xdr:colOff>
      <xdr:row>37</xdr:row>
      <xdr:rowOff>116745</xdr:rowOff>
    </xdr:from>
    <xdr:to>
      <xdr:col>57</xdr:col>
      <xdr:colOff>146978</xdr:colOff>
      <xdr:row>38</xdr:row>
      <xdr:rowOff>148170</xdr:rowOff>
    </xdr:to>
    <xdr:sp macro="[0]!TROISH" textlink="">
      <xdr:nvSpPr>
        <xdr:cNvPr id="46" name="Flèche vers le bas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5400000">
          <a:off x="11783612" y="6569867"/>
          <a:ext cx="210019" cy="376838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53507</xdr:colOff>
      <xdr:row>39</xdr:row>
      <xdr:rowOff>60786</xdr:rowOff>
    </xdr:from>
    <xdr:to>
      <xdr:col>57</xdr:col>
      <xdr:colOff>73157</xdr:colOff>
      <xdr:row>40</xdr:row>
      <xdr:rowOff>62446</xdr:rowOff>
    </xdr:to>
    <xdr:sp macro="[0]!QUATREH" textlink="">
      <xdr:nvSpPr>
        <xdr:cNvPr id="138" name="Flèche vers le bas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>
        <a:xfrm rot="7415236">
          <a:off x="11709791" y="6871096"/>
          <a:ext cx="210019" cy="376838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128581</xdr:colOff>
      <xdr:row>40</xdr:row>
      <xdr:rowOff>10715</xdr:rowOff>
    </xdr:from>
    <xdr:to>
      <xdr:col>55</xdr:col>
      <xdr:colOff>160006</xdr:colOff>
      <xdr:row>40</xdr:row>
      <xdr:rowOff>387553</xdr:rowOff>
    </xdr:to>
    <xdr:sp macro="[0]!CINQH" textlink="">
      <xdr:nvSpPr>
        <xdr:cNvPr id="142" name="Flèche vers le bas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>
        <a:xfrm rot="9145954">
          <a:off x="11522862" y="7112793"/>
          <a:ext cx="210019" cy="376838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23806</xdr:colOff>
      <xdr:row>40</xdr:row>
      <xdr:rowOff>94057</xdr:rowOff>
    </xdr:from>
    <xdr:to>
      <xdr:col>54</xdr:col>
      <xdr:colOff>55232</xdr:colOff>
      <xdr:row>41</xdr:row>
      <xdr:rowOff>75607</xdr:rowOff>
    </xdr:to>
    <xdr:sp macro="[0]!SIXH" textlink="">
      <xdr:nvSpPr>
        <xdr:cNvPr id="71699" name="Flèche vers le bas 71698">
          <a:extLst>
            <a:ext uri="{FF2B5EF4-FFF2-40B4-BE49-F238E27FC236}">
              <a16:creationId xmlns:a16="http://schemas.microsoft.com/office/drawing/2014/main" id="{00000000-0008-0000-0000-000013180100}"/>
            </a:ext>
          </a:extLst>
        </xdr:cNvPr>
        <xdr:cNvSpPr/>
      </xdr:nvSpPr>
      <xdr:spPr>
        <a:xfrm rot="10800000">
          <a:off x="11239494" y="7196135"/>
          <a:ext cx="210019" cy="380410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1080009</xdr:colOff>
      <xdr:row>39</xdr:row>
      <xdr:rowOff>56754</xdr:rowOff>
    </xdr:from>
    <xdr:to>
      <xdr:col>52</xdr:col>
      <xdr:colOff>35789</xdr:colOff>
      <xdr:row>40</xdr:row>
      <xdr:rowOff>58872</xdr:rowOff>
    </xdr:to>
    <xdr:sp macro="[0]!HUITH" textlink="">
      <xdr:nvSpPr>
        <xdr:cNvPr id="159" name="Flèche vers le bas 158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>
        <a:xfrm rot="14218254">
          <a:off x="10990378" y="6932366"/>
          <a:ext cx="214599" cy="384530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1349798</xdr:colOff>
      <xdr:row>40</xdr:row>
      <xdr:rowOff>10717</xdr:rowOff>
    </xdr:from>
    <xdr:to>
      <xdr:col>52</xdr:col>
      <xdr:colOff>135647</xdr:colOff>
      <xdr:row>40</xdr:row>
      <xdr:rowOff>395247</xdr:rowOff>
    </xdr:to>
    <xdr:sp macro="[0]!SEPTH" textlink="">
      <xdr:nvSpPr>
        <xdr:cNvPr id="71710" name="Flèche vers le bas 71709">
          <a:extLst>
            <a:ext uri="{FF2B5EF4-FFF2-40B4-BE49-F238E27FC236}">
              <a16:creationId xmlns:a16="http://schemas.microsoft.com/office/drawing/2014/main" id="{00000000-0008-0000-0000-00001E180100}"/>
            </a:ext>
          </a:extLst>
        </xdr:cNvPr>
        <xdr:cNvSpPr/>
      </xdr:nvSpPr>
      <xdr:spPr>
        <a:xfrm rot="12540000">
          <a:off x="11175202" y="7183775"/>
          <a:ext cx="214599" cy="384530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1006557</xdr:colOff>
      <xdr:row>37</xdr:row>
      <xdr:rowOff>121691</xdr:rowOff>
    </xdr:from>
    <xdr:to>
      <xdr:col>51</xdr:col>
      <xdr:colOff>1392554</xdr:colOff>
      <xdr:row>38</xdr:row>
      <xdr:rowOff>153849</xdr:rowOff>
    </xdr:to>
    <xdr:sp macro="[0]!NEUFH" textlink="">
      <xdr:nvSpPr>
        <xdr:cNvPr id="71715" name="Flèche vers le bas 71714">
          <a:extLst>
            <a:ext uri="{FF2B5EF4-FFF2-40B4-BE49-F238E27FC236}">
              <a16:creationId xmlns:a16="http://schemas.microsoft.com/office/drawing/2014/main" id="{00000000-0008-0000-0000-000023180100}"/>
            </a:ext>
          </a:extLst>
        </xdr:cNvPr>
        <xdr:cNvSpPr/>
      </xdr:nvSpPr>
      <xdr:spPr>
        <a:xfrm rot="16200000">
          <a:off x="10917294" y="6630589"/>
          <a:ext cx="215331" cy="385997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1099607</xdr:colOff>
      <xdr:row>35</xdr:row>
      <xdr:rowOff>163454</xdr:rowOff>
    </xdr:from>
    <xdr:to>
      <xdr:col>52</xdr:col>
      <xdr:colOff>56853</xdr:colOff>
      <xdr:row>37</xdr:row>
      <xdr:rowOff>11706</xdr:rowOff>
    </xdr:to>
    <xdr:sp macro="[0]!DIXH" textlink="">
      <xdr:nvSpPr>
        <xdr:cNvPr id="65" name="Flèche vers le bas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 rot="18200391">
          <a:off x="11010710" y="6305640"/>
          <a:ext cx="214598" cy="385996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1363355</xdr:colOff>
      <xdr:row>34</xdr:row>
      <xdr:rowOff>51378</xdr:rowOff>
    </xdr:from>
    <xdr:to>
      <xdr:col>52</xdr:col>
      <xdr:colOff>149203</xdr:colOff>
      <xdr:row>36</xdr:row>
      <xdr:rowOff>63702</xdr:rowOff>
    </xdr:to>
    <xdr:sp macro="[0]!ONZEH" textlink="">
      <xdr:nvSpPr>
        <xdr:cNvPr id="68" name="Flèche vers le bas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 rot="19861357">
          <a:off x="11188759" y="6088763"/>
          <a:ext cx="214598" cy="385997"/>
        </a:xfrm>
        <a:prstGeom prst="downArrow">
          <a:avLst/>
        </a:prstGeom>
        <a:solidFill>
          <a:schemeClr val="tx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22860</xdr:colOff>
          <xdr:row>3</xdr:row>
          <xdr:rowOff>15240</xdr:rowOff>
        </xdr:from>
        <xdr:to>
          <xdr:col>47</xdr:col>
          <xdr:colOff>175260</xdr:colOff>
          <xdr:row>6</xdr:row>
          <xdr:rowOff>167640</xdr:rowOff>
        </xdr:to>
        <xdr:sp macro="" textlink="">
          <xdr:nvSpPr>
            <xdr:cNvPr id="72705" name="CommandButton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1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6"/>
  <dimension ref="A1:CR146"/>
  <sheetViews>
    <sheetView showGridLines="0" view="pageBreakPreview" topLeftCell="A43" zoomScaleNormal="85" zoomScaleSheetLayoutView="100" workbookViewId="0">
      <selection activeCell="R51" sqref="R51:V51"/>
    </sheetView>
  </sheetViews>
  <sheetFormatPr baseColWidth="10" defaultColWidth="11.44140625" defaultRowHeight="13.8" x14ac:dyDescent="0.25"/>
  <cols>
    <col min="1" max="1" width="11.44140625" style="5"/>
    <col min="2" max="2" width="2.33203125" style="5" customWidth="1"/>
    <col min="3" max="3" width="1.6640625" style="5" customWidth="1"/>
    <col min="4" max="47" width="2.6640625" style="5" customWidth="1"/>
    <col min="48" max="48" width="1.6640625" style="5" customWidth="1"/>
    <col min="49" max="50" width="2.6640625" style="5" customWidth="1"/>
    <col min="51" max="51" width="3.6640625" style="5" customWidth="1"/>
    <col min="52" max="52" width="21.44140625" style="5" customWidth="1"/>
    <col min="53" max="53" width="2.6640625" style="28" customWidth="1"/>
    <col min="54" max="72" width="2.6640625" style="5" customWidth="1"/>
    <col min="73" max="73" width="6" style="5" bestFit="1" customWidth="1"/>
    <col min="74" max="74" width="3.6640625" style="5" customWidth="1"/>
    <col min="75" max="75" width="11.44140625" style="5"/>
    <col min="76" max="76" width="13.44140625" style="5" bestFit="1" customWidth="1"/>
    <col min="77" max="77" width="21.88671875" style="5" bestFit="1" customWidth="1"/>
    <col min="78" max="78" width="38.6640625" style="5" bestFit="1" customWidth="1"/>
    <col min="79" max="79" width="15.5546875" style="5" bestFit="1" customWidth="1"/>
    <col min="80" max="80" width="5.5546875" style="5" bestFit="1" customWidth="1"/>
    <col min="81" max="81" width="10.33203125" style="5" bestFit="1" customWidth="1"/>
    <col min="82" max="82" width="13.33203125" style="5" bestFit="1" customWidth="1"/>
    <col min="83" max="83" width="13.44140625" style="5" bestFit="1" customWidth="1"/>
    <col min="84" max="16384" width="11.44140625" style="5"/>
  </cols>
  <sheetData>
    <row r="1" spans="1:79" ht="25.8" x14ac:dyDescent="0.3">
      <c r="A1" s="118"/>
      <c r="B1" s="3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4"/>
      <c r="W1" s="24"/>
      <c r="X1" s="24"/>
      <c r="Y1" s="24"/>
      <c r="Z1" s="24"/>
      <c r="AA1" s="24"/>
      <c r="AB1" s="215" t="s">
        <v>3</v>
      </c>
      <c r="AC1" s="215"/>
      <c r="AD1" s="215"/>
      <c r="AE1" s="215"/>
      <c r="AF1" s="215"/>
      <c r="AG1" s="215"/>
      <c r="AH1" s="215"/>
      <c r="AI1" s="215"/>
      <c r="AJ1" s="215"/>
      <c r="AK1" s="215"/>
      <c r="AL1" s="215"/>
      <c r="AM1" s="215"/>
      <c r="AN1" s="215"/>
      <c r="AO1" s="215"/>
      <c r="AP1" s="215"/>
      <c r="AQ1" s="215"/>
      <c r="AR1" s="215"/>
      <c r="AS1" s="215"/>
      <c r="AT1" s="215"/>
      <c r="AU1" s="215"/>
      <c r="AV1" s="2"/>
      <c r="AW1" s="3"/>
      <c r="AX1" s="3"/>
      <c r="AY1" s="3"/>
      <c r="BA1" s="27"/>
    </row>
    <row r="2" spans="1:79" ht="38.25" customHeight="1" x14ac:dyDescent="0.25">
      <c r="B2" s="3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16" t="s">
        <v>5</v>
      </c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  <c r="AK2" s="216"/>
      <c r="AL2" s="216"/>
      <c r="AM2" s="216"/>
      <c r="AN2" s="216"/>
      <c r="AO2" s="216"/>
      <c r="AP2" s="216"/>
      <c r="AQ2" s="216"/>
      <c r="AR2" s="216"/>
      <c r="AS2" s="216"/>
      <c r="AT2" s="216"/>
      <c r="AU2" s="216"/>
      <c r="AV2" s="2"/>
      <c r="AW2" s="3"/>
      <c r="AX2" s="3"/>
      <c r="AY2" s="3"/>
      <c r="BA2" s="27"/>
    </row>
    <row r="3" spans="1:79" ht="17.25" customHeight="1" x14ac:dyDescent="0.3"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"/>
      <c r="AW3" s="3"/>
      <c r="AX3" s="3"/>
      <c r="AY3" s="3"/>
    </row>
    <row r="4" spans="1:79" ht="4.5" customHeight="1" x14ac:dyDescent="0.3">
      <c r="B4" s="3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1"/>
      <c r="AW4" s="3"/>
      <c r="AX4" s="3"/>
      <c r="AY4" s="3"/>
      <c r="BA4" s="27"/>
      <c r="BZ4" s="116">
        <f>IF(CA109-$BY$107=$CA$107,"",CA109+1)</f>
        <v>41</v>
      </c>
      <c r="CA4" s="116"/>
    </row>
    <row r="5" spans="1:79" ht="27" customHeight="1" x14ac:dyDescent="0.3">
      <c r="C5" s="217"/>
      <c r="D5" s="217"/>
      <c r="E5" s="217"/>
      <c r="F5" s="217"/>
      <c r="G5" s="217"/>
      <c r="H5" s="217"/>
      <c r="I5" s="217"/>
      <c r="J5" s="119"/>
      <c r="K5" s="16"/>
      <c r="L5" s="3"/>
      <c r="M5" s="115"/>
      <c r="N5" s="3"/>
      <c r="O5" s="115"/>
      <c r="P5" s="115"/>
      <c r="Q5" s="115"/>
      <c r="R5" s="3"/>
      <c r="S5" s="3"/>
      <c r="T5" s="115"/>
      <c r="U5" s="3"/>
      <c r="V5" s="26"/>
      <c r="W5" s="218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3"/>
      <c r="BZ5" s="116"/>
      <c r="CA5" s="116"/>
    </row>
    <row r="6" spans="1:79" ht="7.5" customHeight="1" thickBot="1" x14ac:dyDescent="0.3">
      <c r="C6" s="17"/>
      <c r="D6" s="17"/>
      <c r="E6" s="17"/>
      <c r="F6" s="17"/>
      <c r="G6" s="17"/>
      <c r="H6" s="17"/>
      <c r="I6" s="17"/>
      <c r="J6" s="17"/>
      <c r="K6" s="17"/>
      <c r="L6" s="9"/>
      <c r="M6" s="9"/>
      <c r="N6" s="9"/>
      <c r="O6" s="9"/>
      <c r="P6" s="114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BZ6" s="116"/>
      <c r="CA6" s="116"/>
    </row>
    <row r="7" spans="1:79" ht="13.5" customHeight="1" x14ac:dyDescent="0.25">
      <c r="C7" s="11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4"/>
      <c r="BZ7" s="116"/>
      <c r="CA7" s="116"/>
    </row>
    <row r="8" spans="1:79" ht="18" x14ac:dyDescent="0.35">
      <c r="C8" s="6"/>
      <c r="D8" s="220" t="s">
        <v>4</v>
      </c>
      <c r="E8" s="221"/>
      <c r="F8" s="221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2"/>
      <c r="AV8" s="4"/>
      <c r="BZ8" s="116"/>
      <c r="CA8" s="116"/>
    </row>
    <row r="9" spans="1:79" ht="4.5" customHeight="1" x14ac:dyDescent="0.25">
      <c r="C9" s="6"/>
      <c r="D9" s="51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52"/>
      <c r="AV9" s="4"/>
      <c r="BZ9" s="116"/>
      <c r="CA9" s="116"/>
    </row>
    <row r="10" spans="1:79" x14ac:dyDescent="0.25">
      <c r="C10" s="6"/>
      <c r="D10" s="53"/>
      <c r="E10" s="193" t="s">
        <v>6</v>
      </c>
      <c r="F10" s="193"/>
      <c r="G10" s="193"/>
      <c r="H10" s="193"/>
      <c r="I10" s="193"/>
      <c r="J10" s="193"/>
      <c r="K10" s="191"/>
      <c r="L10" s="191"/>
      <c r="M10" s="191"/>
      <c r="N10" s="191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  <c r="AU10" s="52"/>
      <c r="AV10" s="4"/>
      <c r="BA10" s="29"/>
      <c r="BZ10" s="116"/>
      <c r="CA10" s="116"/>
    </row>
    <row r="11" spans="1:79" x14ac:dyDescent="0.25">
      <c r="C11" s="6"/>
      <c r="D11" s="53"/>
      <c r="E11" s="193" t="s">
        <v>7</v>
      </c>
      <c r="F11" s="193"/>
      <c r="G11" s="193"/>
      <c r="H11" s="193"/>
      <c r="I11" s="193"/>
      <c r="J11" s="193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52"/>
      <c r="AV11" s="4"/>
      <c r="BZ11" s="116"/>
      <c r="CA11" s="116"/>
    </row>
    <row r="12" spans="1:79" ht="4.5" customHeight="1" x14ac:dyDescent="0.25">
      <c r="C12" s="6"/>
      <c r="D12" s="53"/>
      <c r="E12" s="194"/>
      <c r="F12" s="194"/>
      <c r="G12" s="194"/>
      <c r="H12" s="194"/>
      <c r="I12" s="194"/>
      <c r="J12" s="194"/>
      <c r="K12" s="195"/>
      <c r="L12" s="195"/>
      <c r="M12" s="195"/>
      <c r="N12" s="195"/>
      <c r="O12" s="195"/>
      <c r="P12" s="195"/>
      <c r="Q12" s="195"/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195"/>
      <c r="AC12" s="195"/>
      <c r="AD12" s="195"/>
      <c r="AE12" s="195"/>
      <c r="AF12" s="195"/>
      <c r="AG12" s="195"/>
      <c r="AH12" s="195"/>
      <c r="AI12" s="195"/>
      <c r="AJ12" s="195"/>
      <c r="AK12" s="195"/>
      <c r="AL12" s="195"/>
      <c r="AM12" s="195"/>
      <c r="AN12" s="195"/>
      <c r="AO12" s="195"/>
      <c r="AP12" s="195"/>
      <c r="AQ12" s="195"/>
      <c r="AR12" s="195"/>
      <c r="AS12" s="195"/>
      <c r="AT12" s="195"/>
      <c r="AU12" s="52"/>
      <c r="AV12" s="4"/>
      <c r="BA12" s="30"/>
      <c r="BZ12" s="116"/>
      <c r="CA12" s="116"/>
    </row>
    <row r="13" spans="1:79" x14ac:dyDescent="0.25">
      <c r="C13" s="6"/>
      <c r="D13" s="53"/>
      <c r="E13" s="193" t="s">
        <v>8</v>
      </c>
      <c r="F13" s="193"/>
      <c r="G13" s="193"/>
      <c r="H13" s="193"/>
      <c r="I13" s="193"/>
      <c r="J13" s="193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52"/>
      <c r="AV13" s="4"/>
      <c r="AY13" s="76"/>
      <c r="AZ13" s="72"/>
      <c r="BA13" s="29"/>
      <c r="BZ13" s="116"/>
      <c r="CA13" s="116"/>
    </row>
    <row r="14" spans="1:79" x14ac:dyDescent="0.25">
      <c r="C14" s="6"/>
      <c r="D14" s="53"/>
      <c r="E14" s="193" t="s">
        <v>10</v>
      </c>
      <c r="F14" s="193"/>
      <c r="G14" s="193"/>
      <c r="H14" s="193"/>
      <c r="I14" s="193"/>
      <c r="J14" s="193"/>
      <c r="K14" s="189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160"/>
      <c r="AL14" s="160"/>
      <c r="AM14" s="160"/>
      <c r="AN14" s="160"/>
      <c r="AO14" s="160"/>
      <c r="AP14" s="160"/>
      <c r="AQ14" s="160"/>
      <c r="AR14" s="160"/>
      <c r="AS14" s="160"/>
      <c r="AT14" s="161"/>
      <c r="AU14" s="52"/>
      <c r="AV14" s="4"/>
      <c r="AZ14" s="72"/>
      <c r="BZ14" s="116"/>
      <c r="CA14" s="116"/>
    </row>
    <row r="15" spans="1:79" ht="4.5" customHeight="1" x14ac:dyDescent="0.25">
      <c r="C15" s="6"/>
      <c r="D15" s="54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6"/>
      <c r="AV15" s="4"/>
      <c r="BA15" s="30"/>
      <c r="BZ15" s="116"/>
      <c r="CA15" s="116"/>
    </row>
    <row r="16" spans="1:79" x14ac:dyDescent="0.25">
      <c r="C16" s="6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4"/>
      <c r="BA16" s="29"/>
      <c r="BZ16" s="116"/>
      <c r="CA16" s="116"/>
    </row>
    <row r="17" spans="3:83" ht="18" x14ac:dyDescent="0.35">
      <c r="C17" s="6"/>
      <c r="D17" s="220" t="s">
        <v>11</v>
      </c>
      <c r="E17" s="221"/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1"/>
      <c r="S17" s="221"/>
      <c r="T17" s="221"/>
      <c r="U17" s="221"/>
      <c r="V17" s="221"/>
      <c r="W17" s="221"/>
      <c r="X17" s="221"/>
      <c r="Y17" s="221"/>
      <c r="Z17" s="221"/>
      <c r="AA17" s="221"/>
      <c r="AB17" s="221"/>
      <c r="AC17" s="221"/>
      <c r="AD17" s="221"/>
      <c r="AE17" s="221"/>
      <c r="AF17" s="221"/>
      <c r="AG17" s="221"/>
      <c r="AH17" s="221"/>
      <c r="AI17" s="221"/>
      <c r="AJ17" s="221"/>
      <c r="AK17" s="221"/>
      <c r="AL17" s="221"/>
      <c r="AM17" s="221"/>
      <c r="AN17" s="221"/>
      <c r="AO17" s="221"/>
      <c r="AP17" s="221"/>
      <c r="AQ17" s="221"/>
      <c r="AR17" s="221"/>
      <c r="AS17" s="221"/>
      <c r="AT17" s="221"/>
      <c r="AU17" s="222"/>
      <c r="AV17" s="4"/>
      <c r="BZ17" s="116"/>
      <c r="CA17" s="116"/>
    </row>
    <row r="18" spans="3:83" ht="4.5" customHeight="1" x14ac:dyDescent="0.25">
      <c r="C18" s="6"/>
      <c r="D18" s="18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19"/>
      <c r="AV18" s="4"/>
      <c r="BA18" s="30"/>
      <c r="BZ18" s="116"/>
      <c r="CA18" s="116"/>
    </row>
    <row r="19" spans="3:83" ht="14.4" thickBot="1" x14ac:dyDescent="0.3">
      <c r="C19" s="6"/>
      <c r="D19" s="20"/>
      <c r="E19" s="183" t="s">
        <v>12</v>
      </c>
      <c r="F19" s="184"/>
      <c r="G19" s="185"/>
      <c r="H19" s="189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0"/>
      <c r="AP19" s="160"/>
      <c r="AQ19" s="160"/>
      <c r="AR19" s="160"/>
      <c r="AS19" s="160"/>
      <c r="AT19" s="161"/>
      <c r="AU19" s="120"/>
      <c r="AV19" s="4"/>
      <c r="BZ19" s="116"/>
      <c r="CA19" s="116"/>
    </row>
    <row r="20" spans="3:83" x14ac:dyDescent="0.25">
      <c r="C20" s="6"/>
      <c r="D20" s="18"/>
      <c r="E20" s="186"/>
      <c r="F20" s="187"/>
      <c r="G20" s="188"/>
      <c r="H20" s="229" t="s">
        <v>62</v>
      </c>
      <c r="I20" s="229"/>
      <c r="J20" s="229"/>
      <c r="K20" s="229"/>
      <c r="L20" s="23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160"/>
      <c r="AL20" s="160"/>
      <c r="AM20" s="160"/>
      <c r="AN20" s="160"/>
      <c r="AO20" s="160"/>
      <c r="AP20" s="160"/>
      <c r="AQ20" s="160"/>
      <c r="AR20" s="160"/>
      <c r="AS20" s="160"/>
      <c r="AT20" s="160"/>
      <c r="AU20" s="120"/>
      <c r="AV20" s="4"/>
      <c r="AZ20" s="11"/>
      <c r="BA20" s="58" t="s">
        <v>1</v>
      </c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4"/>
      <c r="BZ20" s="116"/>
      <c r="CA20" s="116"/>
    </row>
    <row r="21" spans="3:83" ht="4.5" customHeight="1" thickBot="1" x14ac:dyDescent="0.3">
      <c r="C21" s="6"/>
      <c r="D21" s="18"/>
      <c r="E21" s="231"/>
      <c r="F21" s="231"/>
      <c r="G21" s="2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19"/>
      <c r="AV21" s="4"/>
      <c r="AZ21" s="6"/>
      <c r="BA21" s="27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4"/>
      <c r="BZ21" s="116"/>
      <c r="CA21" s="116"/>
    </row>
    <row r="22" spans="3:83" ht="14.4" thickBot="1" x14ac:dyDescent="0.3">
      <c r="C22" s="6"/>
      <c r="D22" s="18"/>
      <c r="E22" s="151" t="s">
        <v>16</v>
      </c>
      <c r="F22" s="152"/>
      <c r="G22" s="152"/>
      <c r="H22" s="152"/>
      <c r="I22" s="152"/>
      <c r="J22" s="152"/>
      <c r="K22" s="152"/>
      <c r="L22" s="121"/>
      <c r="M22" s="189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0"/>
      <c r="AP22" s="160"/>
      <c r="AQ22" s="160"/>
      <c r="AR22" s="160"/>
      <c r="AS22" s="160"/>
      <c r="AT22" s="161"/>
      <c r="AU22" s="19"/>
      <c r="AV22" s="4"/>
      <c r="AZ22" s="6"/>
      <c r="BA22" s="59" t="s">
        <v>2</v>
      </c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4"/>
      <c r="BW22" s="110" t="s">
        <v>127</v>
      </c>
      <c r="BZ22" s="116"/>
      <c r="CA22" s="116"/>
    </row>
    <row r="23" spans="3:83" x14ac:dyDescent="0.25">
      <c r="C23" s="6"/>
      <c r="D23" s="18"/>
      <c r="E23" s="151" t="s">
        <v>63</v>
      </c>
      <c r="F23" s="152"/>
      <c r="G23" s="152"/>
      <c r="H23" s="152"/>
      <c r="I23" s="152"/>
      <c r="J23" s="152"/>
      <c r="K23" s="152"/>
      <c r="L23" s="122"/>
      <c r="M23" s="189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160"/>
      <c r="AL23" s="160"/>
      <c r="AM23" s="160"/>
      <c r="AN23" s="160"/>
      <c r="AO23" s="160"/>
      <c r="AP23" s="160"/>
      <c r="AQ23" s="160"/>
      <c r="AR23" s="160"/>
      <c r="AS23" s="160"/>
      <c r="AT23" s="161"/>
      <c r="AU23" s="19"/>
      <c r="AV23" s="4"/>
      <c r="AZ23" s="6"/>
      <c r="BA23" s="27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4"/>
      <c r="BW23" s="111" t="s">
        <v>38</v>
      </c>
      <c r="BZ23" s="116"/>
      <c r="CA23" s="116"/>
    </row>
    <row r="24" spans="3:83" x14ac:dyDescent="0.25">
      <c r="C24" s="6"/>
      <c r="D24" s="18"/>
      <c r="E24" s="151" t="s">
        <v>64</v>
      </c>
      <c r="F24" s="152"/>
      <c r="G24" s="152"/>
      <c r="H24" s="152"/>
      <c r="I24" s="152"/>
      <c r="J24" s="152"/>
      <c r="K24" s="152"/>
      <c r="L24" s="122"/>
      <c r="M24" s="189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160"/>
      <c r="AL24" s="160"/>
      <c r="AM24" s="160"/>
      <c r="AN24" s="160"/>
      <c r="AO24" s="160"/>
      <c r="AP24" s="160"/>
      <c r="AQ24" s="160"/>
      <c r="AR24" s="160"/>
      <c r="AS24" s="160"/>
      <c r="AT24" s="161"/>
      <c r="AU24" s="19"/>
      <c r="AV24" s="4"/>
      <c r="AZ24" s="6"/>
      <c r="BA24" s="223" t="s">
        <v>20</v>
      </c>
      <c r="BB24" s="223"/>
      <c r="BC24" s="223"/>
      <c r="BD24" s="223"/>
      <c r="BE24" s="223"/>
      <c r="BF24" s="223"/>
      <c r="BG24" s="223"/>
      <c r="BH24" s="223"/>
      <c r="BI24" s="223"/>
      <c r="BJ24" s="223"/>
      <c r="BK24" s="3"/>
      <c r="BL24" s="223" t="s">
        <v>19</v>
      </c>
      <c r="BM24" s="223"/>
      <c r="BN24" s="223"/>
      <c r="BO24" s="223"/>
      <c r="BP24" s="223"/>
      <c r="BQ24" s="223"/>
      <c r="BR24" s="223"/>
      <c r="BS24" s="223"/>
      <c r="BT24" s="223"/>
      <c r="BU24" s="223"/>
      <c r="BV24" s="4"/>
      <c r="BW24" s="112" t="s">
        <v>125</v>
      </c>
      <c r="BZ24" s="116"/>
      <c r="CA24" s="116"/>
    </row>
    <row r="25" spans="3:83" x14ac:dyDescent="0.25">
      <c r="C25" s="6"/>
      <c r="D25" s="18"/>
      <c r="E25" s="227" t="s">
        <v>65</v>
      </c>
      <c r="F25" s="228"/>
      <c r="G25" s="228"/>
      <c r="H25" s="228"/>
      <c r="I25" s="228"/>
      <c r="J25" s="228"/>
      <c r="K25" s="228"/>
      <c r="L25" s="122"/>
      <c r="M25" s="239"/>
      <c r="N25" s="240"/>
      <c r="O25" s="240"/>
      <c r="P25" s="240"/>
      <c r="Q25" s="240"/>
      <c r="R25" s="240"/>
      <c r="S25" s="240"/>
      <c r="T25" s="240"/>
      <c r="U25" s="240"/>
      <c r="V25" s="240"/>
      <c r="W25" s="240"/>
      <c r="X25" s="240"/>
      <c r="Y25" s="240"/>
      <c r="Z25" s="240"/>
      <c r="AA25" s="240"/>
      <c r="AB25" s="240"/>
      <c r="AC25" s="240"/>
      <c r="AD25" s="240"/>
      <c r="AE25" s="240"/>
      <c r="AF25" s="240"/>
      <c r="AG25" s="240"/>
      <c r="AH25" s="240"/>
      <c r="AI25" s="240"/>
      <c r="AJ25" s="240"/>
      <c r="AK25" s="240"/>
      <c r="AL25" s="240"/>
      <c r="AM25" s="240"/>
      <c r="AN25" s="240"/>
      <c r="AO25" s="240"/>
      <c r="AP25" s="240"/>
      <c r="AQ25" s="240"/>
      <c r="AR25" s="240"/>
      <c r="AS25" s="240"/>
      <c r="AT25" s="241"/>
      <c r="AU25" s="19"/>
      <c r="AV25" s="4"/>
      <c r="AZ25" s="6"/>
      <c r="BA25" s="223" t="s">
        <v>20</v>
      </c>
      <c r="BB25" s="223"/>
      <c r="BC25" s="223"/>
      <c r="BD25" s="223"/>
      <c r="BE25" s="223"/>
      <c r="BF25" s="223"/>
      <c r="BG25" s="223"/>
      <c r="BH25" s="223"/>
      <c r="BI25" s="223"/>
      <c r="BJ25" s="223"/>
      <c r="BK25" s="3"/>
      <c r="BL25" s="223" t="s">
        <v>19</v>
      </c>
      <c r="BM25" s="223"/>
      <c r="BN25" s="223"/>
      <c r="BO25" s="223"/>
      <c r="BP25" s="223"/>
      <c r="BQ25" s="223"/>
      <c r="BR25" s="223"/>
      <c r="BS25" s="223"/>
      <c r="BT25" s="223"/>
      <c r="BU25" s="223"/>
      <c r="BV25" s="4"/>
      <c r="BW25" s="112" t="s">
        <v>128</v>
      </c>
      <c r="BZ25" s="116"/>
      <c r="CA25" s="116"/>
    </row>
    <row r="26" spans="3:83" x14ac:dyDescent="0.25">
      <c r="C26" s="6"/>
      <c r="D26" s="18"/>
      <c r="E26" s="151" t="s">
        <v>21</v>
      </c>
      <c r="F26" s="152"/>
      <c r="G26" s="152"/>
      <c r="H26" s="152"/>
      <c r="I26" s="152"/>
      <c r="J26" s="152"/>
      <c r="K26" s="152"/>
      <c r="L26" s="121"/>
      <c r="M26" s="189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160"/>
      <c r="AL26" s="160"/>
      <c r="AM26" s="160"/>
      <c r="AN26" s="160"/>
      <c r="AO26" s="160"/>
      <c r="AP26" s="160"/>
      <c r="AQ26" s="160"/>
      <c r="AR26" s="160"/>
      <c r="AS26" s="160"/>
      <c r="AT26" s="161"/>
      <c r="AU26" s="19"/>
      <c r="AV26" s="4"/>
      <c r="AZ26" s="6"/>
      <c r="BA26" s="27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4"/>
      <c r="BW26" s="112" t="s">
        <v>124</v>
      </c>
      <c r="BX26" s="3"/>
      <c r="BY26" s="3"/>
      <c r="BZ26" s="117"/>
      <c r="CA26" s="117"/>
      <c r="CB26" s="3"/>
      <c r="CC26" s="3"/>
      <c r="CD26" s="3"/>
      <c r="CE26" s="3"/>
    </row>
    <row r="27" spans="3:83" x14ac:dyDescent="0.25">
      <c r="C27" s="6"/>
      <c r="D27" s="18"/>
      <c r="E27" s="151" t="s">
        <v>22</v>
      </c>
      <c r="F27" s="152"/>
      <c r="G27" s="152"/>
      <c r="H27" s="152"/>
      <c r="I27" s="152"/>
      <c r="J27" s="152"/>
      <c r="K27" s="152"/>
      <c r="L27" s="121"/>
      <c r="M27" s="189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160"/>
      <c r="AL27" s="160"/>
      <c r="AM27" s="160"/>
      <c r="AN27" s="160"/>
      <c r="AO27" s="160"/>
      <c r="AP27" s="160"/>
      <c r="AQ27" s="160"/>
      <c r="AR27" s="160"/>
      <c r="AS27" s="160"/>
      <c r="AT27" s="161"/>
      <c r="AU27" s="19"/>
      <c r="AV27" s="4"/>
      <c r="AZ27" s="6"/>
      <c r="BA27" s="27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4"/>
      <c r="BW27" s="112" t="s">
        <v>126</v>
      </c>
      <c r="BX27" s="3"/>
      <c r="BY27" s="3"/>
      <c r="BZ27" s="117"/>
      <c r="CA27" s="117"/>
      <c r="CB27" s="3"/>
      <c r="CC27" s="3"/>
      <c r="CD27" s="3"/>
      <c r="CE27" s="3"/>
    </row>
    <row r="28" spans="3:83" ht="4.5" customHeight="1" thickBot="1" x14ac:dyDescent="0.3">
      <c r="C28" s="6"/>
      <c r="D28" s="21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3"/>
      <c r="AV28" s="4"/>
      <c r="AZ28" s="6"/>
      <c r="BA28" s="27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4"/>
      <c r="BW28" s="113" t="s">
        <v>120</v>
      </c>
      <c r="BX28" s="3"/>
      <c r="BY28" s="3"/>
      <c r="BZ28" s="117"/>
      <c r="CA28" s="117"/>
      <c r="CB28" s="3"/>
      <c r="CC28" s="3"/>
      <c r="CD28" s="3"/>
      <c r="CE28" s="3"/>
    </row>
    <row r="29" spans="3:83" ht="14.4" thickBot="1" x14ac:dyDescent="0.3">
      <c r="C29" s="6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4"/>
      <c r="AZ29" s="6"/>
      <c r="BA29" s="38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4"/>
      <c r="BW29" s="111" t="s">
        <v>119</v>
      </c>
      <c r="BX29" s="3"/>
      <c r="BY29" s="3"/>
      <c r="BZ29" s="117"/>
      <c r="CA29" s="117"/>
      <c r="CB29" s="3"/>
      <c r="CC29" s="3"/>
      <c r="CD29" s="3"/>
      <c r="CE29" s="3"/>
    </row>
    <row r="30" spans="3:83" ht="18.600000000000001" thickBot="1" x14ac:dyDescent="0.4">
      <c r="C30" s="6"/>
      <c r="D30" s="220" t="s">
        <v>23</v>
      </c>
      <c r="E30" s="221"/>
      <c r="F30" s="221"/>
      <c r="G30" s="221"/>
      <c r="H30" s="221"/>
      <c r="I30" s="221"/>
      <c r="J30" s="221"/>
      <c r="K30" s="221"/>
      <c r="L30" s="221"/>
      <c r="M30" s="221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  <c r="AU30" s="222"/>
      <c r="AV30" s="4"/>
      <c r="AZ30" s="6"/>
      <c r="BA30" s="57" t="s">
        <v>87</v>
      </c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60"/>
      <c r="BW30" s="111" t="s">
        <v>121</v>
      </c>
      <c r="BX30" s="10"/>
      <c r="BY30" s="10"/>
      <c r="BZ30" s="10"/>
      <c r="CA30" s="10"/>
      <c r="CB30" s="10"/>
      <c r="CC30" s="10"/>
      <c r="CD30" s="10"/>
      <c r="CE30" s="3"/>
    </row>
    <row r="31" spans="3:83" ht="7.5" customHeight="1" thickBot="1" x14ac:dyDescent="0.3">
      <c r="C31" s="6"/>
      <c r="D31" s="18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19"/>
      <c r="AV31" s="4"/>
      <c r="AZ31" s="6"/>
      <c r="BA31" s="59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4"/>
      <c r="BW31" s="111" t="s">
        <v>37</v>
      </c>
      <c r="BX31" s="3"/>
      <c r="BY31" s="3"/>
      <c r="BZ31" s="3"/>
      <c r="CA31" s="3"/>
      <c r="CB31" s="3"/>
      <c r="CC31" s="3"/>
      <c r="CD31" s="3"/>
      <c r="CE31" s="3"/>
    </row>
    <row r="32" spans="3:83" ht="14.4" thickBot="1" x14ac:dyDescent="0.3">
      <c r="C32" s="6"/>
      <c r="D32" s="20"/>
      <c r="E32" s="232" t="s">
        <v>24</v>
      </c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32"/>
      <c r="Y32" s="32"/>
      <c r="Z32" s="233" t="s">
        <v>25</v>
      </c>
      <c r="AA32" s="234"/>
      <c r="AB32" s="234"/>
      <c r="AC32" s="234"/>
      <c r="AD32" s="234"/>
      <c r="AE32" s="234"/>
      <c r="AF32" s="234"/>
      <c r="AG32" s="234"/>
      <c r="AH32" s="234"/>
      <c r="AI32" s="234"/>
      <c r="AJ32" s="234"/>
      <c r="AK32" s="234"/>
      <c r="AL32" s="234"/>
      <c r="AM32" s="234"/>
      <c r="AN32" s="234"/>
      <c r="AO32" s="234"/>
      <c r="AP32" s="234"/>
      <c r="AQ32" s="234"/>
      <c r="AR32" s="234"/>
      <c r="AS32" s="34"/>
      <c r="AT32" s="35"/>
      <c r="AU32" s="19"/>
      <c r="AV32" s="4"/>
      <c r="AZ32" s="6"/>
      <c r="BA32" s="57" t="s">
        <v>88</v>
      </c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60"/>
      <c r="BW32" s="111" t="s">
        <v>123</v>
      </c>
      <c r="BX32" s="10"/>
      <c r="BY32" s="10"/>
      <c r="BZ32" s="10"/>
      <c r="CA32" s="10"/>
      <c r="CB32" s="10"/>
      <c r="CC32" s="10"/>
      <c r="CD32" s="10"/>
      <c r="CE32" s="3"/>
    </row>
    <row r="33" spans="3:96" x14ac:dyDescent="0.25">
      <c r="C33" s="6"/>
      <c r="D33" s="18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"/>
      <c r="Y33" s="3"/>
      <c r="Z33" s="162"/>
      <c r="AA33" s="163"/>
      <c r="AB33" s="163"/>
      <c r="AC33" s="163"/>
      <c r="AD33" s="163"/>
      <c r="AE33" s="163"/>
      <c r="AF33" s="163"/>
      <c r="AG33" s="163"/>
      <c r="AH33" s="163"/>
      <c r="AI33" s="163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4"/>
      <c r="AU33" s="19"/>
      <c r="AV33" s="4"/>
      <c r="AZ33" s="6"/>
      <c r="BA33" s="27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4"/>
      <c r="BW33" s="111" t="s">
        <v>129</v>
      </c>
      <c r="BX33" s="3"/>
      <c r="BY33" s="3"/>
      <c r="BZ33" s="3"/>
      <c r="CA33" s="3"/>
      <c r="CB33" s="3"/>
      <c r="CC33" s="3"/>
      <c r="CD33" s="3"/>
      <c r="CE33" s="3"/>
    </row>
    <row r="34" spans="3:96" ht="14.4" thickBot="1" x14ac:dyDescent="0.3">
      <c r="C34" s="6"/>
      <c r="D34" s="18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"/>
      <c r="Y34" s="3"/>
      <c r="Z34" s="162"/>
      <c r="AA34" s="163"/>
      <c r="AB34" s="163"/>
      <c r="AC34" s="163"/>
      <c r="AD34" s="163"/>
      <c r="AE34" s="163"/>
      <c r="AF34" s="163"/>
      <c r="AG34" s="163"/>
      <c r="AH34" s="163"/>
      <c r="AI34" s="163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4"/>
      <c r="AU34" s="19"/>
      <c r="AV34" s="4"/>
      <c r="AZ34" s="6"/>
      <c r="BA34" s="27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4"/>
      <c r="BW34" s="104" t="s">
        <v>131</v>
      </c>
      <c r="BX34" s="3"/>
      <c r="BY34" s="3"/>
      <c r="BZ34" s="3"/>
      <c r="CA34" s="3"/>
      <c r="CB34" s="3"/>
      <c r="CC34" s="3"/>
      <c r="CD34" s="3"/>
      <c r="CE34" s="3"/>
    </row>
    <row r="35" spans="3:96" ht="14.4" thickBot="1" x14ac:dyDescent="0.3">
      <c r="C35" s="6"/>
      <c r="D35" s="18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"/>
      <c r="Y35" s="3"/>
      <c r="Z35" s="162"/>
      <c r="AA35" s="163"/>
      <c r="AB35" s="163"/>
      <c r="AC35" s="163"/>
      <c r="AD35" s="163"/>
      <c r="AE35" s="163"/>
      <c r="AF35" s="163"/>
      <c r="AG35" s="163"/>
      <c r="AH35" s="163"/>
      <c r="AI35" s="163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4"/>
      <c r="AU35" s="19"/>
      <c r="AV35" s="4"/>
      <c r="AZ35" s="6"/>
      <c r="BA35" s="27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4"/>
      <c r="BW35" s="101" t="s">
        <v>132</v>
      </c>
      <c r="BX35" s="3"/>
      <c r="BY35" s="3"/>
      <c r="BZ35" s="3"/>
      <c r="CA35" s="3"/>
      <c r="CB35" s="3"/>
      <c r="CC35" s="3"/>
      <c r="CD35" s="3"/>
      <c r="CE35" s="3"/>
    </row>
    <row r="36" spans="3:96" ht="14.25" customHeight="1" x14ac:dyDescent="0.25">
      <c r="C36" s="6"/>
      <c r="D36" s="18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"/>
      <c r="Y36" s="3"/>
      <c r="Z36" s="162"/>
      <c r="AA36" s="163"/>
      <c r="AB36" s="163"/>
      <c r="AC36" s="163"/>
      <c r="AD36" s="163"/>
      <c r="AE36" s="163"/>
      <c r="AF36" s="163"/>
      <c r="AG36" s="163"/>
      <c r="AH36" s="163"/>
      <c r="AI36" s="163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4"/>
      <c r="AU36" s="19"/>
      <c r="AV36" s="4"/>
      <c r="AZ36" s="6"/>
      <c r="BA36" s="27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4"/>
      <c r="BW36" s="101" t="s">
        <v>133</v>
      </c>
      <c r="BX36" s="3"/>
      <c r="BY36" s="3"/>
      <c r="BZ36" s="3"/>
      <c r="CA36" s="3"/>
      <c r="CB36" s="3"/>
      <c r="CC36" s="3"/>
      <c r="CD36" s="3"/>
      <c r="CE36" s="3"/>
    </row>
    <row r="37" spans="3:96" x14ac:dyDescent="0.25">
      <c r="C37" s="6"/>
      <c r="D37" s="18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"/>
      <c r="Y37" s="3"/>
      <c r="Z37" s="162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4"/>
      <c r="AU37" s="19"/>
      <c r="AV37" s="4"/>
      <c r="AZ37" s="6"/>
      <c r="BA37" s="27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4"/>
    </row>
    <row r="38" spans="3:96" ht="14.25" customHeight="1" x14ac:dyDescent="0.25">
      <c r="C38" s="6"/>
      <c r="D38" s="18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"/>
      <c r="Y38" s="3"/>
      <c r="Z38" s="162"/>
      <c r="AA38" s="163"/>
      <c r="AB38" s="163"/>
      <c r="AC38" s="163"/>
      <c r="AD38" s="163"/>
      <c r="AE38" s="163"/>
      <c r="AF38" s="163"/>
      <c r="AG38" s="163"/>
      <c r="AH38" s="163"/>
      <c r="AI38" s="163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4"/>
      <c r="AU38" s="19"/>
      <c r="AV38" s="4"/>
      <c r="AZ38" s="6"/>
      <c r="BA38" s="27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4"/>
    </row>
    <row r="39" spans="3:96" x14ac:dyDescent="0.25">
      <c r="C39" s="6"/>
      <c r="D39" s="18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"/>
      <c r="Y39" s="3"/>
      <c r="Z39" s="162"/>
      <c r="AA39" s="163"/>
      <c r="AB39" s="163"/>
      <c r="AC39" s="163"/>
      <c r="AD39" s="163"/>
      <c r="AE39" s="163"/>
      <c r="AF39" s="163"/>
      <c r="AG39" s="163"/>
      <c r="AH39" s="163"/>
      <c r="AI39" s="163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4"/>
      <c r="AU39" s="19"/>
      <c r="AV39" s="4"/>
      <c r="AZ39" s="6"/>
      <c r="BA39" s="27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4"/>
    </row>
    <row r="40" spans="3:96" ht="16.5" customHeight="1" x14ac:dyDescent="0.25">
      <c r="C40" s="6"/>
      <c r="D40" s="18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"/>
      <c r="Y40" s="3"/>
      <c r="Z40" s="162"/>
      <c r="AA40" s="163"/>
      <c r="AB40" s="163"/>
      <c r="AC40" s="163"/>
      <c r="AD40" s="163"/>
      <c r="AE40" s="163"/>
      <c r="AF40" s="163"/>
      <c r="AG40" s="163"/>
      <c r="AH40" s="163"/>
      <c r="AI40" s="163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4"/>
      <c r="AU40" s="19"/>
      <c r="AV40" s="4"/>
      <c r="AW40" s="261" t="s">
        <v>0</v>
      </c>
      <c r="AX40" s="73"/>
      <c r="AY40" s="73"/>
      <c r="AZ40" s="6"/>
      <c r="BA40" s="27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4"/>
    </row>
    <row r="41" spans="3:96" ht="31.5" customHeight="1" x14ac:dyDescent="0.25">
      <c r="C41" s="6"/>
      <c r="D41" s="18"/>
      <c r="E41" s="33"/>
      <c r="F41" s="33"/>
      <c r="G41" s="33"/>
      <c r="H41" s="33"/>
      <c r="I41" s="33"/>
      <c r="J41" s="33"/>
      <c r="K41" s="33"/>
      <c r="L41" s="33"/>
      <c r="M41" s="33"/>
      <c r="N41" s="109"/>
      <c r="O41" s="33"/>
      <c r="P41" s="33"/>
      <c r="Q41" s="33"/>
      <c r="R41" s="33"/>
      <c r="S41" s="33"/>
      <c r="T41" s="33"/>
      <c r="U41" s="33"/>
      <c r="V41" s="33"/>
      <c r="W41" s="33"/>
      <c r="X41" s="3"/>
      <c r="Y41" s="3"/>
      <c r="Z41" s="162"/>
      <c r="AA41" s="163"/>
      <c r="AB41" s="163"/>
      <c r="AC41" s="163"/>
      <c r="AD41" s="163"/>
      <c r="AE41" s="163"/>
      <c r="AF41" s="163"/>
      <c r="AG41" s="163"/>
      <c r="AH41" s="163"/>
      <c r="AI41" s="163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4"/>
      <c r="AU41" s="19"/>
      <c r="AV41" s="4"/>
      <c r="AW41" s="261"/>
      <c r="AX41" s="73"/>
      <c r="AY41" s="73"/>
      <c r="AZ41" s="6"/>
      <c r="BA41" s="27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4"/>
    </row>
    <row r="42" spans="3:96" x14ac:dyDescent="0.25">
      <c r="C42" s="6"/>
      <c r="D42" s="18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"/>
      <c r="Y42" s="3"/>
      <c r="Z42" s="162"/>
      <c r="AA42" s="163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4"/>
      <c r="AU42" s="19"/>
      <c r="AV42" s="4"/>
      <c r="AW42" s="261"/>
      <c r="AX42" s="73"/>
      <c r="AY42" s="73"/>
      <c r="AZ42" s="6"/>
      <c r="BA42" s="27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4"/>
    </row>
    <row r="43" spans="3:96" ht="9.75" customHeight="1" thickBot="1" x14ac:dyDescent="0.3">
      <c r="C43" s="6"/>
      <c r="D43" s="18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"/>
      <c r="Y43" s="3"/>
      <c r="Z43" s="162"/>
      <c r="AA43" s="163"/>
      <c r="AB43" s="163"/>
      <c r="AC43" s="163"/>
      <c r="AD43" s="163"/>
      <c r="AE43" s="163"/>
      <c r="AF43" s="163"/>
      <c r="AG43" s="163"/>
      <c r="AH43" s="163"/>
      <c r="AI43" s="163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4"/>
      <c r="AU43" s="19"/>
      <c r="AV43" s="4"/>
      <c r="AW43" s="261"/>
      <c r="AX43" s="73"/>
      <c r="AY43" s="73"/>
      <c r="AZ43" s="61"/>
      <c r="BA43" s="27"/>
      <c r="BB43" s="7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4"/>
    </row>
    <row r="44" spans="3:96" ht="14.25" customHeight="1" thickBot="1" x14ac:dyDescent="0.3">
      <c r="C44" s="6"/>
      <c r="D44" s="18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"/>
      <c r="Y44" s="3"/>
      <c r="Z44" s="162"/>
      <c r="AA44" s="163"/>
      <c r="AB44" s="163"/>
      <c r="AC44" s="163"/>
      <c r="AD44" s="163"/>
      <c r="AE44" s="163"/>
      <c r="AF44" s="163"/>
      <c r="AG44" s="163"/>
      <c r="AH44" s="163"/>
      <c r="AI44" s="163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4"/>
      <c r="AU44" s="19"/>
      <c r="AV44" s="4"/>
      <c r="AW44" s="261"/>
      <c r="AX44" s="73"/>
      <c r="AY44" s="73"/>
      <c r="AZ44" s="6"/>
      <c r="BA44" s="27"/>
      <c r="BB44" s="3"/>
      <c r="BC44" s="3"/>
      <c r="BD44" s="93" t="s">
        <v>15</v>
      </c>
      <c r="BE44" s="3"/>
      <c r="BF44" s="3"/>
      <c r="BG44" s="3"/>
      <c r="BH44" s="3"/>
      <c r="BI44" s="3"/>
      <c r="BJ44" s="3"/>
      <c r="BK44" s="3"/>
      <c r="BL44" s="3"/>
      <c r="BM44" s="3"/>
      <c r="BN44" s="101" t="s">
        <v>125</v>
      </c>
      <c r="BO44" s="3"/>
      <c r="BP44" s="3"/>
      <c r="BQ44" s="3"/>
      <c r="BR44" s="3"/>
      <c r="BS44" s="3"/>
      <c r="BT44" s="3"/>
      <c r="BU44" s="3"/>
      <c r="BV44" s="4"/>
    </row>
    <row r="45" spans="3:96" ht="14.25" customHeight="1" thickBot="1" x14ac:dyDescent="0.3">
      <c r="C45" s="6"/>
      <c r="D45" s="18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"/>
      <c r="Y45" s="3"/>
      <c r="Z45" s="165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  <c r="AP45" s="166"/>
      <c r="AQ45" s="166"/>
      <c r="AR45" s="166"/>
      <c r="AS45" s="166"/>
      <c r="AT45" s="167"/>
      <c r="AU45" s="19"/>
      <c r="AV45" s="4"/>
      <c r="AW45" s="261"/>
      <c r="AX45" s="73"/>
      <c r="AY45" s="73"/>
      <c r="AZ45" s="6"/>
      <c r="BA45" s="93" t="s">
        <v>27</v>
      </c>
      <c r="BB45" s="94"/>
      <c r="BC45" s="95"/>
      <c r="BD45" s="93" t="s">
        <v>33</v>
      </c>
      <c r="BE45" s="94"/>
      <c r="BF45" s="94"/>
      <c r="BG45" s="94"/>
      <c r="BH45" s="95"/>
      <c r="BI45" s="93" t="s">
        <v>17</v>
      </c>
      <c r="BJ45" s="94"/>
      <c r="BK45" s="94"/>
      <c r="BL45" s="94"/>
      <c r="BM45" s="95"/>
      <c r="BN45" s="101" t="s">
        <v>37</v>
      </c>
      <c r="BO45" s="102"/>
      <c r="BP45" s="102"/>
      <c r="BQ45" s="102"/>
      <c r="BR45" s="103"/>
      <c r="BS45" s="93" t="s">
        <v>40</v>
      </c>
      <c r="BT45" s="94"/>
      <c r="BU45" s="95"/>
      <c r="BV45" s="4"/>
      <c r="BX45" s="202"/>
      <c r="BY45" s="203"/>
      <c r="BZ45" s="204"/>
      <c r="CA45" s="202"/>
      <c r="CB45" s="203"/>
      <c r="CC45" s="203"/>
      <c r="CD45" s="203"/>
      <c r="CE45" s="204"/>
      <c r="CF45" s="202"/>
      <c r="CG45" s="203"/>
      <c r="CH45" s="203"/>
      <c r="CI45" s="203"/>
      <c r="CJ45" s="204"/>
      <c r="CK45" s="262"/>
      <c r="CL45" s="263"/>
      <c r="CM45" s="263"/>
      <c r="CN45" s="263"/>
      <c r="CO45" s="264"/>
      <c r="CP45" s="202"/>
      <c r="CQ45" s="203"/>
      <c r="CR45" s="204"/>
    </row>
    <row r="46" spans="3:96" ht="14.25" customHeight="1" x14ac:dyDescent="0.25">
      <c r="C46" s="6"/>
      <c r="D46" s="18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19"/>
      <c r="AV46" s="4"/>
      <c r="AW46" s="261"/>
      <c r="AX46" s="73"/>
      <c r="AY46" s="73"/>
      <c r="AZ46" s="6"/>
      <c r="BA46" s="96" t="s">
        <v>28</v>
      </c>
      <c r="BB46" s="36"/>
      <c r="BC46" s="97"/>
      <c r="BD46" s="96" t="s">
        <v>32</v>
      </c>
      <c r="BE46" s="36"/>
      <c r="BF46" s="36"/>
      <c r="BG46" s="36"/>
      <c r="BH46" s="97"/>
      <c r="BI46" s="96" t="s">
        <v>18</v>
      </c>
      <c r="BJ46" s="36"/>
      <c r="BK46" s="36"/>
      <c r="BL46" s="36"/>
      <c r="BM46" s="97"/>
      <c r="BN46" s="104" t="s">
        <v>120</v>
      </c>
      <c r="BO46" s="105"/>
      <c r="BP46" s="105"/>
      <c r="BQ46" s="105"/>
      <c r="BR46" s="106"/>
      <c r="BS46" s="96" t="s">
        <v>81</v>
      </c>
      <c r="BT46" s="36"/>
      <c r="BU46" s="97"/>
      <c r="BV46" s="4"/>
      <c r="BX46" s="205"/>
      <c r="BY46" s="173"/>
      <c r="BZ46" s="206"/>
      <c r="CA46" s="205"/>
      <c r="CB46" s="173"/>
      <c r="CC46" s="173"/>
      <c r="CD46" s="173"/>
      <c r="CE46" s="206"/>
      <c r="CF46" s="205"/>
      <c r="CG46" s="173"/>
      <c r="CH46" s="173"/>
      <c r="CI46" s="173"/>
      <c r="CJ46" s="206"/>
      <c r="CK46" s="207"/>
      <c r="CL46" s="176"/>
      <c r="CM46" s="176"/>
      <c r="CN46" s="176"/>
      <c r="CO46" s="208"/>
      <c r="CP46" s="205"/>
      <c r="CQ46" s="173"/>
      <c r="CR46" s="206"/>
    </row>
    <row r="47" spans="3:96" ht="14.25" customHeight="1" x14ac:dyDescent="0.25">
      <c r="C47" s="6"/>
      <c r="D47" s="18"/>
      <c r="E47" s="235" t="s">
        <v>66</v>
      </c>
      <c r="F47" s="236"/>
      <c r="G47" s="236"/>
      <c r="H47" s="236"/>
      <c r="I47" s="168"/>
      <c r="J47" s="168"/>
      <c r="K47" s="168"/>
      <c r="L47" s="47" t="s">
        <v>42</v>
      </c>
      <c r="M47" s="237" t="s">
        <v>79</v>
      </c>
      <c r="N47" s="237"/>
      <c r="O47" s="237"/>
      <c r="P47" s="237"/>
      <c r="Q47" s="237"/>
      <c r="R47" s="237"/>
      <c r="S47" s="237"/>
      <c r="T47" s="237"/>
      <c r="U47" s="44"/>
      <c r="V47" s="39"/>
      <c r="W47" s="48"/>
      <c r="X47" s="238" t="s">
        <v>68</v>
      </c>
      <c r="Y47" s="238"/>
      <c r="Z47" s="238"/>
      <c r="AA47" s="238"/>
      <c r="AB47" s="238"/>
      <c r="AC47" s="238"/>
      <c r="AD47" s="238"/>
      <c r="AE47" s="238"/>
      <c r="AF47" s="238"/>
      <c r="AG47" s="238"/>
      <c r="AH47" s="238"/>
      <c r="AI47" s="238"/>
      <c r="AJ47" s="238"/>
      <c r="AK47" s="168">
        <v>0</v>
      </c>
      <c r="AL47" s="168"/>
      <c r="AM47" s="49" t="s">
        <v>42</v>
      </c>
      <c r="AN47" s="45" t="str">
        <f>"("</f>
        <v>(</v>
      </c>
      <c r="AO47" s="169" t="str">
        <f>IF(AK47&gt;0,I47-AK47,"-")</f>
        <v>-</v>
      </c>
      <c r="AP47" s="169"/>
      <c r="AQ47" s="169"/>
      <c r="AR47" s="46" t="s">
        <v>69</v>
      </c>
      <c r="AS47" s="49"/>
      <c r="AT47" s="50"/>
      <c r="AU47" s="40"/>
      <c r="AV47" s="4"/>
      <c r="AW47" s="261"/>
      <c r="AX47" s="73"/>
      <c r="AY47" s="73"/>
      <c r="AZ47" s="6"/>
      <c r="BA47" s="96" t="s">
        <v>29</v>
      </c>
      <c r="BB47" s="36"/>
      <c r="BC47" s="97"/>
      <c r="BD47" s="96" t="s">
        <v>14</v>
      </c>
      <c r="BE47" s="36"/>
      <c r="BF47" s="36"/>
      <c r="BG47" s="36"/>
      <c r="BH47" s="97"/>
      <c r="BI47" s="96" t="s">
        <v>122</v>
      </c>
      <c r="BJ47" s="36"/>
      <c r="BK47" s="36"/>
      <c r="BL47" s="36"/>
      <c r="BM47" s="97"/>
      <c r="BN47" s="104" t="s">
        <v>121</v>
      </c>
      <c r="BO47" s="105"/>
      <c r="BP47" s="105"/>
      <c r="BQ47" s="105"/>
      <c r="BR47" s="106"/>
      <c r="BS47" s="96" t="s">
        <v>41</v>
      </c>
      <c r="BT47" s="36"/>
      <c r="BU47" s="97"/>
      <c r="BV47" s="4"/>
      <c r="BX47" s="205"/>
      <c r="BY47" s="173"/>
      <c r="BZ47" s="206"/>
      <c r="CA47" s="205"/>
      <c r="CB47" s="173"/>
      <c r="CC47" s="173"/>
      <c r="CD47" s="173"/>
      <c r="CE47" s="206"/>
      <c r="CF47" s="205"/>
      <c r="CG47" s="173"/>
      <c r="CH47" s="173"/>
      <c r="CI47" s="173"/>
      <c r="CJ47" s="206"/>
      <c r="CK47" s="207"/>
      <c r="CL47" s="176"/>
      <c r="CM47" s="176"/>
      <c r="CN47" s="176"/>
      <c r="CO47" s="208"/>
      <c r="CP47" s="205"/>
      <c r="CQ47" s="173"/>
      <c r="CR47" s="206"/>
    </row>
    <row r="48" spans="3:96" ht="9" customHeight="1" thickBot="1" x14ac:dyDescent="0.3">
      <c r="C48" s="6"/>
      <c r="D48" s="18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19"/>
      <c r="AV48" s="4"/>
      <c r="AW48" s="261"/>
      <c r="AX48" s="73"/>
      <c r="AY48" s="73"/>
      <c r="AZ48" s="6"/>
      <c r="BA48" s="96" t="s">
        <v>83</v>
      </c>
      <c r="BB48" s="36"/>
      <c r="BC48" s="97"/>
      <c r="BD48" s="96" t="s">
        <v>86</v>
      </c>
      <c r="BE48" s="36"/>
      <c r="BF48" s="36"/>
      <c r="BG48" s="36"/>
      <c r="BH48" s="97"/>
      <c r="BI48" s="96" t="s">
        <v>35</v>
      </c>
      <c r="BJ48" s="36"/>
      <c r="BK48" s="36"/>
      <c r="BL48" s="36"/>
      <c r="BM48" s="97"/>
      <c r="BN48" s="104" t="s">
        <v>119</v>
      </c>
      <c r="BO48" s="105"/>
      <c r="BP48" s="105"/>
      <c r="BQ48" s="105"/>
      <c r="BR48" s="106"/>
      <c r="BS48" s="96" t="s">
        <v>82</v>
      </c>
      <c r="BT48" s="36"/>
      <c r="BU48" s="97"/>
      <c r="BV48" s="4"/>
      <c r="BX48" s="205"/>
      <c r="BY48" s="173"/>
      <c r="BZ48" s="206"/>
      <c r="CA48" s="205"/>
      <c r="CB48" s="173"/>
      <c r="CC48" s="173"/>
      <c r="CD48" s="173"/>
      <c r="CE48" s="206"/>
      <c r="CF48" s="205"/>
      <c r="CG48" s="173"/>
      <c r="CH48" s="173"/>
      <c r="CI48" s="173"/>
      <c r="CJ48" s="206"/>
      <c r="CK48" s="207"/>
      <c r="CL48" s="176"/>
      <c r="CM48" s="176"/>
      <c r="CN48" s="176"/>
      <c r="CO48" s="208"/>
      <c r="CP48" s="205"/>
      <c r="CQ48" s="173"/>
      <c r="CR48" s="206"/>
    </row>
    <row r="49" spans="3:96" ht="14.25" customHeight="1" x14ac:dyDescent="0.25">
      <c r="C49" s="6"/>
      <c r="D49" s="18"/>
      <c r="E49" s="224" t="s">
        <v>26</v>
      </c>
      <c r="F49" s="225"/>
      <c r="G49" s="225"/>
      <c r="H49" s="225"/>
      <c r="I49" s="225"/>
      <c r="J49" s="225"/>
      <c r="K49" s="225"/>
      <c r="L49" s="225"/>
      <c r="M49" s="225"/>
      <c r="N49" s="225"/>
      <c r="O49" s="225"/>
      <c r="P49" s="225"/>
      <c r="Q49" s="225"/>
      <c r="R49" s="225"/>
      <c r="S49" s="225"/>
      <c r="T49" s="225"/>
      <c r="U49" s="225"/>
      <c r="V49" s="225"/>
      <c r="W49" s="225"/>
      <c r="X49" s="225"/>
      <c r="Y49" s="225"/>
      <c r="Z49" s="225"/>
      <c r="AA49" s="225"/>
      <c r="AB49" s="225"/>
      <c r="AC49" s="225"/>
      <c r="AD49" s="225"/>
      <c r="AE49" s="225"/>
      <c r="AF49" s="225"/>
      <c r="AG49" s="225"/>
      <c r="AH49" s="225"/>
      <c r="AI49" s="225"/>
      <c r="AJ49" s="225"/>
      <c r="AK49" s="225"/>
      <c r="AL49" s="225"/>
      <c r="AM49" s="225"/>
      <c r="AN49" s="225"/>
      <c r="AO49" s="225"/>
      <c r="AP49" s="225"/>
      <c r="AQ49" s="225"/>
      <c r="AR49" s="225"/>
      <c r="AS49" s="225"/>
      <c r="AT49" s="226"/>
      <c r="AU49" s="19"/>
      <c r="AV49" s="4"/>
      <c r="AW49" s="261"/>
      <c r="AX49" s="73"/>
      <c r="AY49" s="73"/>
      <c r="AZ49" s="6"/>
      <c r="BA49" s="96" t="s">
        <v>84</v>
      </c>
      <c r="BB49" s="36"/>
      <c r="BC49" s="97"/>
      <c r="BD49" s="96" t="s">
        <v>134</v>
      </c>
      <c r="BE49" s="36"/>
      <c r="BF49" s="36"/>
      <c r="BG49" s="36"/>
      <c r="BH49" s="97"/>
      <c r="BI49" s="96" t="s">
        <v>35</v>
      </c>
      <c r="BJ49" s="36"/>
      <c r="BK49" s="36"/>
      <c r="BL49" s="36"/>
      <c r="BM49" s="97"/>
      <c r="BN49" s="104" t="s">
        <v>38</v>
      </c>
      <c r="BO49" s="105"/>
      <c r="BP49" s="105"/>
      <c r="BQ49" s="105"/>
      <c r="BR49" s="106"/>
      <c r="BS49" s="96" t="s">
        <v>130</v>
      </c>
      <c r="BT49" s="36"/>
      <c r="BU49" s="97"/>
      <c r="BV49" s="4"/>
      <c r="BX49" s="205"/>
      <c r="BY49" s="173"/>
      <c r="BZ49" s="206"/>
      <c r="CA49" s="205"/>
      <c r="CB49" s="173"/>
      <c r="CC49" s="173"/>
      <c r="CD49" s="173"/>
      <c r="CE49" s="206"/>
      <c r="CF49" s="205"/>
      <c r="CG49" s="173"/>
      <c r="CH49" s="173"/>
      <c r="CI49" s="173"/>
      <c r="CJ49" s="206"/>
      <c r="CK49" s="207"/>
      <c r="CL49" s="176"/>
      <c r="CM49" s="176"/>
      <c r="CN49" s="176"/>
      <c r="CO49" s="208"/>
      <c r="CP49" s="205"/>
      <c r="CQ49" s="173"/>
      <c r="CR49" s="206"/>
    </row>
    <row r="50" spans="3:96" ht="11.25" customHeight="1" thickBot="1" x14ac:dyDescent="0.3">
      <c r="C50" s="6"/>
      <c r="D50" s="18"/>
      <c r="E50" s="170" t="s">
        <v>30</v>
      </c>
      <c r="F50" s="171"/>
      <c r="G50" s="171"/>
      <c r="H50" s="171" t="s">
        <v>31</v>
      </c>
      <c r="I50" s="171"/>
      <c r="J50" s="171"/>
      <c r="K50" s="171"/>
      <c r="L50" s="171"/>
      <c r="M50" s="171" t="s">
        <v>34</v>
      </c>
      <c r="N50" s="171"/>
      <c r="O50" s="171"/>
      <c r="P50" s="171"/>
      <c r="Q50" s="171"/>
      <c r="R50" s="171" t="s">
        <v>36</v>
      </c>
      <c r="S50" s="171"/>
      <c r="T50" s="171"/>
      <c r="U50" s="171"/>
      <c r="V50" s="171"/>
      <c r="W50" s="171" t="s">
        <v>39</v>
      </c>
      <c r="X50" s="171"/>
      <c r="Y50" s="171"/>
      <c r="Z50" s="171" t="s">
        <v>43</v>
      </c>
      <c r="AA50" s="171"/>
      <c r="AB50" s="171"/>
      <c r="AC50" s="171" t="s">
        <v>44</v>
      </c>
      <c r="AD50" s="171"/>
      <c r="AE50" s="171"/>
      <c r="AF50" s="171"/>
      <c r="AG50" s="171"/>
      <c r="AH50" s="171" t="s">
        <v>45</v>
      </c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243"/>
      <c r="AU50" s="19"/>
      <c r="AV50" s="4"/>
      <c r="AW50" s="261"/>
      <c r="AX50" s="73"/>
      <c r="AY50" s="73"/>
      <c r="AZ50" s="6"/>
      <c r="BA50" s="98" t="s">
        <v>85</v>
      </c>
      <c r="BB50" s="99"/>
      <c r="BC50" s="100"/>
      <c r="BD50" s="98" t="s">
        <v>127</v>
      </c>
      <c r="BE50" s="99"/>
      <c r="BF50" s="99"/>
      <c r="BG50" s="99"/>
      <c r="BH50" s="100"/>
      <c r="BI50" s="98" t="s">
        <v>127</v>
      </c>
      <c r="BJ50" s="99"/>
      <c r="BK50" s="99"/>
      <c r="BL50" s="99"/>
      <c r="BM50" s="100"/>
      <c r="BN50" s="98" t="s">
        <v>127</v>
      </c>
      <c r="BO50" s="107"/>
      <c r="BP50" s="107"/>
      <c r="BQ50" s="107"/>
      <c r="BR50" s="108"/>
      <c r="BS50" s="98" t="s">
        <v>127</v>
      </c>
      <c r="BT50" s="99"/>
      <c r="BU50" s="100"/>
      <c r="BV50" s="4"/>
      <c r="BX50" s="196"/>
      <c r="BY50" s="197"/>
      <c r="BZ50" s="198"/>
      <c r="CA50" s="196"/>
      <c r="CB50" s="197"/>
      <c r="CC50" s="197"/>
      <c r="CD50" s="197"/>
      <c r="CE50" s="198"/>
      <c r="CF50" s="196"/>
      <c r="CG50" s="197"/>
      <c r="CH50" s="197"/>
      <c r="CI50" s="197"/>
      <c r="CJ50" s="198"/>
      <c r="CK50" s="199"/>
      <c r="CL50" s="200"/>
      <c r="CM50" s="200"/>
      <c r="CN50" s="200"/>
      <c r="CO50" s="201"/>
      <c r="CP50" s="196"/>
      <c r="CQ50" s="197"/>
      <c r="CR50" s="198"/>
    </row>
    <row r="51" spans="3:96" ht="14.25" customHeight="1" x14ac:dyDescent="0.25">
      <c r="C51" s="6"/>
      <c r="D51" s="18"/>
      <c r="E51" s="242" t="s">
        <v>27</v>
      </c>
      <c r="F51" s="173"/>
      <c r="G51" s="173"/>
      <c r="H51" s="172"/>
      <c r="I51" s="173"/>
      <c r="J51" s="173"/>
      <c r="K51" s="173"/>
      <c r="L51" s="174"/>
      <c r="M51" s="173"/>
      <c r="N51" s="173"/>
      <c r="O51" s="173"/>
      <c r="P51" s="173"/>
      <c r="Q51" s="173"/>
      <c r="R51" s="175"/>
      <c r="S51" s="176"/>
      <c r="T51" s="176"/>
      <c r="U51" s="176"/>
      <c r="V51" s="177"/>
      <c r="W51" s="172"/>
      <c r="X51" s="173"/>
      <c r="Y51" s="174"/>
      <c r="Z51" s="178"/>
      <c r="AA51" s="178"/>
      <c r="AB51" s="36" t="s">
        <v>42</v>
      </c>
      <c r="AC51" s="181">
        <f>$I$47-Z51</f>
        <v>0</v>
      </c>
      <c r="AD51" s="182"/>
      <c r="AE51" s="182"/>
      <c r="AF51" s="179" t="s">
        <v>67</v>
      </c>
      <c r="AG51" s="180"/>
      <c r="AH51" s="244"/>
      <c r="AI51" s="245"/>
      <c r="AJ51" s="245"/>
      <c r="AK51" s="245"/>
      <c r="AL51" s="245"/>
      <c r="AM51" s="245"/>
      <c r="AN51" s="245"/>
      <c r="AO51" s="245"/>
      <c r="AP51" s="245"/>
      <c r="AQ51" s="245"/>
      <c r="AR51" s="245"/>
      <c r="AS51" s="245"/>
      <c r="AT51" s="246"/>
      <c r="AU51" s="19"/>
      <c r="AV51" s="4"/>
      <c r="AW51" s="261"/>
      <c r="AX51" s="73"/>
      <c r="AY51" s="73"/>
      <c r="AZ51" s="259" t="s">
        <v>111</v>
      </c>
      <c r="BA51" s="249"/>
      <c r="BB51" s="250"/>
      <c r="BC51" s="250"/>
      <c r="BD51" s="250"/>
      <c r="BE51" s="250"/>
      <c r="BF51" s="250"/>
      <c r="BG51" s="251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63"/>
      <c r="BW51" s="62"/>
      <c r="BX51" s="36"/>
      <c r="BY51" s="255"/>
      <c r="BZ51" s="182"/>
      <c r="CA51" s="182"/>
      <c r="CB51" s="179"/>
      <c r="CC51" s="179"/>
      <c r="CD51" s="247"/>
      <c r="CE51" s="247"/>
      <c r="CF51" s="247"/>
      <c r="CG51" s="247"/>
      <c r="CH51" s="247"/>
      <c r="CI51" s="247"/>
      <c r="CJ51" s="247"/>
      <c r="CK51" s="247"/>
      <c r="CL51" s="247"/>
      <c r="CM51" s="247"/>
      <c r="CN51" s="247"/>
      <c r="CO51" s="247"/>
      <c r="CP51" s="248"/>
    </row>
    <row r="52" spans="3:96" ht="14.25" customHeight="1" thickBot="1" x14ac:dyDescent="0.3">
      <c r="C52" s="6"/>
      <c r="D52" s="18"/>
      <c r="E52" s="242"/>
      <c r="F52" s="173"/>
      <c r="G52" s="173"/>
      <c r="H52" s="172"/>
      <c r="I52" s="173"/>
      <c r="J52" s="173"/>
      <c r="K52" s="173"/>
      <c r="L52" s="174"/>
      <c r="M52" s="173"/>
      <c r="N52" s="173"/>
      <c r="O52" s="173"/>
      <c r="P52" s="173"/>
      <c r="Q52" s="173"/>
      <c r="R52" s="175"/>
      <c r="S52" s="176"/>
      <c r="T52" s="176"/>
      <c r="U52" s="176"/>
      <c r="V52" s="177"/>
      <c r="W52" s="172"/>
      <c r="X52" s="173"/>
      <c r="Y52" s="174"/>
      <c r="Z52" s="178"/>
      <c r="AA52" s="178"/>
      <c r="AB52" s="36" t="str">
        <f>IF(Z52="","","m")</f>
        <v/>
      </c>
      <c r="AC52" s="181"/>
      <c r="AD52" s="182"/>
      <c r="AE52" s="182"/>
      <c r="AF52" s="179" t="str">
        <f>IF(AC52="","",AF51)</f>
        <v/>
      </c>
      <c r="AG52" s="180"/>
      <c r="AH52" s="244"/>
      <c r="AI52" s="245"/>
      <c r="AJ52" s="245"/>
      <c r="AK52" s="245"/>
      <c r="AL52" s="245"/>
      <c r="AM52" s="245"/>
      <c r="AN52" s="245"/>
      <c r="AO52" s="245"/>
      <c r="AP52" s="245"/>
      <c r="AQ52" s="245"/>
      <c r="AR52" s="245"/>
      <c r="AS52" s="245"/>
      <c r="AT52" s="246"/>
      <c r="AU52" s="19"/>
      <c r="AV52" s="4"/>
      <c r="AW52" s="261"/>
      <c r="AX52" s="73"/>
      <c r="AY52" s="73"/>
      <c r="AZ52" s="260"/>
      <c r="BA52" s="252"/>
      <c r="BB52" s="253"/>
      <c r="BC52" s="253"/>
      <c r="BD52" s="253"/>
      <c r="BE52" s="253"/>
      <c r="BF52" s="253"/>
      <c r="BG52" s="254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64"/>
      <c r="BW52" s="62"/>
      <c r="BX52" s="36"/>
      <c r="BY52" s="255"/>
      <c r="BZ52" s="182"/>
      <c r="CA52" s="182"/>
      <c r="CB52" s="179"/>
      <c r="CC52" s="179"/>
      <c r="CD52" s="247"/>
      <c r="CE52" s="247"/>
      <c r="CF52" s="247"/>
      <c r="CG52" s="247"/>
      <c r="CH52" s="247"/>
      <c r="CI52" s="247"/>
      <c r="CJ52" s="247"/>
      <c r="CK52" s="247"/>
      <c r="CL52" s="247"/>
      <c r="CM52" s="247"/>
      <c r="CN52" s="247"/>
      <c r="CO52" s="247"/>
      <c r="CP52" s="248"/>
    </row>
    <row r="53" spans="3:96" ht="14.25" customHeight="1" thickBot="1" x14ac:dyDescent="0.3">
      <c r="C53" s="6"/>
      <c r="D53" s="18"/>
      <c r="E53" s="242"/>
      <c r="F53" s="173"/>
      <c r="G53" s="173"/>
      <c r="H53" s="172"/>
      <c r="I53" s="173"/>
      <c r="J53" s="173"/>
      <c r="K53" s="173"/>
      <c r="L53" s="174"/>
      <c r="M53" s="173"/>
      <c r="N53" s="173"/>
      <c r="O53" s="173"/>
      <c r="P53" s="173"/>
      <c r="Q53" s="173"/>
      <c r="R53" s="175"/>
      <c r="S53" s="176"/>
      <c r="T53" s="176"/>
      <c r="U53" s="176"/>
      <c r="V53" s="177"/>
      <c r="W53" s="172"/>
      <c r="X53" s="173"/>
      <c r="Y53" s="174"/>
      <c r="Z53" s="178"/>
      <c r="AA53" s="178"/>
      <c r="AB53" s="36" t="str">
        <f t="shared" ref="AB53:AB57" si="0">IF(Z53="","","m")</f>
        <v/>
      </c>
      <c r="AC53" s="181"/>
      <c r="AD53" s="182"/>
      <c r="AE53" s="182"/>
      <c r="AF53" s="179" t="str">
        <f t="shared" ref="AF53:AF56" si="1">IF(AC53="","",AF52)</f>
        <v/>
      </c>
      <c r="AG53" s="180"/>
      <c r="AH53" s="244"/>
      <c r="AI53" s="245"/>
      <c r="AJ53" s="245"/>
      <c r="AK53" s="245"/>
      <c r="AL53" s="245"/>
      <c r="AM53" s="245"/>
      <c r="AN53" s="245"/>
      <c r="AO53" s="245"/>
      <c r="AP53" s="245"/>
      <c r="AQ53" s="245"/>
      <c r="AR53" s="245"/>
      <c r="AS53" s="245"/>
      <c r="AT53" s="246"/>
      <c r="AU53" s="19"/>
      <c r="AV53" s="4"/>
      <c r="AW53" s="261"/>
      <c r="AX53" s="73"/>
      <c r="AY53" s="70" t="s">
        <v>93</v>
      </c>
      <c r="AZ53" s="256" t="e">
        <f>VLOOKUP(BA51,gfhn,)</f>
        <v>#NAME?</v>
      </c>
      <c r="BA53" s="257"/>
      <c r="BB53" s="257"/>
      <c r="BC53" s="257"/>
      <c r="BD53" s="257"/>
      <c r="BE53" s="257"/>
      <c r="BF53" s="257"/>
      <c r="BG53" s="258"/>
      <c r="BH53" s="163"/>
      <c r="BI53" s="163"/>
      <c r="BJ53" s="163"/>
      <c r="BK53" s="163"/>
      <c r="BL53" s="163"/>
      <c r="BM53" s="163"/>
      <c r="BN53" s="163"/>
      <c r="BO53" s="163"/>
      <c r="BP53" s="3"/>
      <c r="BQ53" s="3"/>
      <c r="BR53" s="3"/>
      <c r="BS53" s="3"/>
      <c r="BT53" s="3"/>
      <c r="BU53" s="3"/>
      <c r="BV53" s="64"/>
      <c r="BW53" s="62"/>
      <c r="BX53" s="36"/>
      <c r="BY53" s="255"/>
      <c r="BZ53" s="182"/>
      <c r="CA53" s="182"/>
      <c r="CB53" s="179"/>
      <c r="CC53" s="179"/>
      <c r="CD53" s="247"/>
      <c r="CE53" s="247"/>
      <c r="CF53" s="247"/>
      <c r="CG53" s="247"/>
      <c r="CH53" s="247"/>
      <c r="CI53" s="247"/>
      <c r="CJ53" s="247"/>
      <c r="CK53" s="247"/>
      <c r="CL53" s="247"/>
      <c r="CM53" s="247"/>
      <c r="CN53" s="247"/>
      <c r="CO53" s="247"/>
      <c r="CP53" s="248"/>
    </row>
    <row r="54" spans="3:96" ht="14.25" customHeight="1" thickBot="1" x14ac:dyDescent="0.3">
      <c r="C54" s="6"/>
      <c r="D54" s="18"/>
      <c r="E54" s="242"/>
      <c r="F54" s="173"/>
      <c r="G54" s="173"/>
      <c r="H54" s="172"/>
      <c r="I54" s="173"/>
      <c r="J54" s="173"/>
      <c r="K54" s="173"/>
      <c r="L54" s="174"/>
      <c r="M54" s="173"/>
      <c r="N54" s="173"/>
      <c r="O54" s="173"/>
      <c r="P54" s="173"/>
      <c r="Q54" s="173"/>
      <c r="R54" s="175"/>
      <c r="S54" s="176"/>
      <c r="T54" s="176"/>
      <c r="U54" s="176"/>
      <c r="V54" s="177"/>
      <c r="W54" s="172"/>
      <c r="X54" s="173"/>
      <c r="Y54" s="174"/>
      <c r="Z54" s="178"/>
      <c r="AA54" s="178"/>
      <c r="AB54" s="36" t="str">
        <f t="shared" si="0"/>
        <v/>
      </c>
      <c r="AC54" s="181"/>
      <c r="AD54" s="182"/>
      <c r="AE54" s="182"/>
      <c r="AF54" s="179" t="str">
        <f t="shared" si="1"/>
        <v/>
      </c>
      <c r="AG54" s="180"/>
      <c r="AH54" s="244"/>
      <c r="AI54" s="245"/>
      <c r="AJ54" s="245"/>
      <c r="AK54" s="245"/>
      <c r="AL54" s="245"/>
      <c r="AM54" s="245"/>
      <c r="AN54" s="245"/>
      <c r="AO54" s="245"/>
      <c r="AP54" s="245"/>
      <c r="AQ54" s="245"/>
      <c r="AR54" s="245"/>
      <c r="AS54" s="245"/>
      <c r="AT54" s="246"/>
      <c r="AU54" s="19"/>
      <c r="AV54" s="4"/>
      <c r="AW54" s="261"/>
      <c r="AX54" s="73"/>
      <c r="AY54" s="71" t="s">
        <v>94</v>
      </c>
      <c r="AZ54" s="256"/>
      <c r="BA54" s="257"/>
      <c r="BB54" s="257"/>
      <c r="BC54" s="257"/>
      <c r="BD54" s="257"/>
      <c r="BE54" s="257"/>
      <c r="BF54" s="257"/>
      <c r="BG54" s="258"/>
      <c r="BH54" s="163"/>
      <c r="BI54" s="163"/>
      <c r="BJ54" s="163"/>
      <c r="BK54" s="163"/>
      <c r="BL54" s="163"/>
      <c r="BM54" s="163"/>
      <c r="BN54" s="163"/>
      <c r="BO54" s="163"/>
      <c r="BP54" s="3"/>
      <c r="BQ54" s="3"/>
      <c r="BR54" s="3"/>
      <c r="BS54" s="3"/>
      <c r="BT54" s="3"/>
      <c r="BU54" s="3"/>
      <c r="BV54" s="4"/>
      <c r="BW54" s="3"/>
      <c r="BX54" s="3"/>
      <c r="BY54" s="3"/>
      <c r="BZ54" s="3"/>
      <c r="CA54" s="3"/>
      <c r="CB54" s="3"/>
      <c r="CC54" s="3"/>
    </row>
    <row r="55" spans="3:96" ht="14.25" customHeight="1" x14ac:dyDescent="0.25">
      <c r="C55" s="6"/>
      <c r="D55" s="18"/>
      <c r="E55" s="242"/>
      <c r="F55" s="173"/>
      <c r="G55" s="173"/>
      <c r="H55" s="172"/>
      <c r="I55" s="173"/>
      <c r="J55" s="173"/>
      <c r="K55" s="173"/>
      <c r="L55" s="174"/>
      <c r="M55" s="173"/>
      <c r="N55" s="173"/>
      <c r="O55" s="173"/>
      <c r="P55" s="173"/>
      <c r="Q55" s="173"/>
      <c r="R55" s="175"/>
      <c r="S55" s="176"/>
      <c r="T55" s="176"/>
      <c r="U55" s="176"/>
      <c r="V55" s="177"/>
      <c r="W55" s="172"/>
      <c r="X55" s="173"/>
      <c r="Y55" s="174"/>
      <c r="Z55" s="178"/>
      <c r="AA55" s="178"/>
      <c r="AB55" s="36" t="str">
        <f t="shared" si="0"/>
        <v/>
      </c>
      <c r="AC55" s="265"/>
      <c r="AD55" s="182"/>
      <c r="AE55" s="182"/>
      <c r="AF55" s="179" t="str">
        <f t="shared" si="1"/>
        <v/>
      </c>
      <c r="AG55" s="180"/>
      <c r="AH55" s="244"/>
      <c r="AI55" s="245"/>
      <c r="AJ55" s="245"/>
      <c r="AK55" s="245"/>
      <c r="AL55" s="245"/>
      <c r="AM55" s="245"/>
      <c r="AN55" s="245"/>
      <c r="AO55" s="245"/>
      <c r="AP55" s="245"/>
      <c r="AQ55" s="245"/>
      <c r="AR55" s="245"/>
      <c r="AS55" s="245"/>
      <c r="AT55" s="246"/>
      <c r="AU55" s="19"/>
      <c r="AV55" s="4"/>
      <c r="AW55" s="261"/>
      <c r="AX55" s="73"/>
      <c r="AY55" s="73"/>
      <c r="AZ55" s="6"/>
      <c r="BA55" s="27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4"/>
    </row>
    <row r="56" spans="3:96" ht="14.25" customHeight="1" x14ac:dyDescent="0.25">
      <c r="C56" s="6"/>
      <c r="D56" s="18"/>
      <c r="E56" s="242"/>
      <c r="F56" s="173"/>
      <c r="G56" s="173"/>
      <c r="H56" s="172"/>
      <c r="I56" s="173"/>
      <c r="J56" s="173"/>
      <c r="K56" s="173"/>
      <c r="L56" s="174"/>
      <c r="M56" s="173"/>
      <c r="N56" s="173"/>
      <c r="O56" s="173"/>
      <c r="P56" s="173"/>
      <c r="Q56" s="173"/>
      <c r="R56" s="175"/>
      <c r="S56" s="176"/>
      <c r="T56" s="176"/>
      <c r="U56" s="176"/>
      <c r="V56" s="177"/>
      <c r="W56" s="172"/>
      <c r="X56" s="173"/>
      <c r="Y56" s="174"/>
      <c r="Z56" s="178"/>
      <c r="AA56" s="178"/>
      <c r="AB56" s="36" t="str">
        <f t="shared" si="0"/>
        <v/>
      </c>
      <c r="AC56" s="265"/>
      <c r="AD56" s="182"/>
      <c r="AE56" s="182"/>
      <c r="AF56" s="179" t="str">
        <f t="shared" si="1"/>
        <v/>
      </c>
      <c r="AG56" s="180"/>
      <c r="AH56" s="244"/>
      <c r="AI56" s="245"/>
      <c r="AJ56" s="245"/>
      <c r="AK56" s="245"/>
      <c r="AL56" s="245"/>
      <c r="AM56" s="245"/>
      <c r="AN56" s="245"/>
      <c r="AO56" s="245"/>
      <c r="AP56" s="245"/>
      <c r="AQ56" s="245"/>
      <c r="AR56" s="245"/>
      <c r="AS56" s="245"/>
      <c r="AT56" s="246"/>
      <c r="AU56" s="19"/>
      <c r="AV56" s="4"/>
      <c r="AW56" s="261"/>
      <c r="AX56" s="73"/>
      <c r="AY56" s="73"/>
      <c r="AZ56" s="6"/>
      <c r="BA56" s="27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105"/>
      <c r="BO56" s="3"/>
      <c r="BP56" s="3"/>
      <c r="BQ56" s="3"/>
      <c r="BR56" s="3"/>
      <c r="BS56" s="3"/>
      <c r="BT56" s="3"/>
      <c r="BU56" s="3"/>
      <c r="BV56" s="4"/>
      <c r="BW56" s="3"/>
      <c r="BX56" s="3"/>
      <c r="BY56" s="3"/>
      <c r="BZ56" s="3"/>
      <c r="CA56" s="3"/>
      <c r="CB56" s="3"/>
      <c r="CC56" s="3"/>
    </row>
    <row r="57" spans="3:96" ht="14.25" customHeight="1" thickBot="1" x14ac:dyDescent="0.3">
      <c r="C57" s="6"/>
      <c r="D57" s="18"/>
      <c r="E57" s="272"/>
      <c r="F57" s="273"/>
      <c r="G57" s="273"/>
      <c r="H57" s="274"/>
      <c r="I57" s="273"/>
      <c r="J57" s="273"/>
      <c r="K57" s="273"/>
      <c r="L57" s="275"/>
      <c r="M57" s="273"/>
      <c r="N57" s="273"/>
      <c r="O57" s="273"/>
      <c r="P57" s="273"/>
      <c r="Q57" s="273"/>
      <c r="R57" s="276"/>
      <c r="S57" s="277"/>
      <c r="T57" s="277"/>
      <c r="U57" s="277"/>
      <c r="V57" s="278"/>
      <c r="W57" s="274"/>
      <c r="X57" s="273"/>
      <c r="Y57" s="275"/>
      <c r="Z57" s="266"/>
      <c r="AA57" s="266"/>
      <c r="AB57" s="37" t="str">
        <f t="shared" si="0"/>
        <v/>
      </c>
      <c r="AC57" s="267"/>
      <c r="AD57" s="268"/>
      <c r="AE57" s="268"/>
      <c r="AF57" s="269" t="str">
        <f t="shared" ref="AF57" si="2">IF(AC57="","",AF56)</f>
        <v/>
      </c>
      <c r="AG57" s="270"/>
      <c r="AH57" s="279"/>
      <c r="AI57" s="280"/>
      <c r="AJ57" s="280"/>
      <c r="AK57" s="280"/>
      <c r="AL57" s="280"/>
      <c r="AM57" s="280"/>
      <c r="AN57" s="280"/>
      <c r="AO57" s="280"/>
      <c r="AP57" s="280"/>
      <c r="AQ57" s="280"/>
      <c r="AR57" s="280"/>
      <c r="AS57" s="280"/>
      <c r="AT57" s="281"/>
      <c r="AU57" s="19"/>
      <c r="AV57" s="4"/>
      <c r="AW57" s="261"/>
      <c r="AX57" s="73"/>
      <c r="AY57" s="73"/>
      <c r="AZ57" s="6"/>
      <c r="BA57" s="27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105"/>
      <c r="BO57" s="3"/>
      <c r="BP57" s="3"/>
      <c r="BQ57" s="3"/>
      <c r="BR57" s="3"/>
      <c r="BS57" s="3"/>
      <c r="BT57" s="3"/>
      <c r="BU57" s="3"/>
      <c r="BV57" s="4"/>
      <c r="BW57" s="271"/>
      <c r="BX57" s="271"/>
      <c r="BY57" s="271"/>
      <c r="BZ57" s="271"/>
      <c r="CA57" s="271"/>
      <c r="CB57" s="271"/>
      <c r="CC57" s="271"/>
    </row>
    <row r="58" spans="3:96" ht="10.5" customHeight="1" x14ac:dyDescent="0.25">
      <c r="C58" s="6"/>
      <c r="D58" s="21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3"/>
      <c r="AV58" s="4"/>
      <c r="AW58" s="261"/>
      <c r="AX58" s="73"/>
      <c r="AY58" s="73"/>
      <c r="AZ58" s="6"/>
      <c r="BA58" s="27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105"/>
      <c r="BO58" s="3"/>
      <c r="BP58" s="3"/>
      <c r="BQ58" s="3"/>
      <c r="BR58" s="3"/>
      <c r="BS58" s="3"/>
      <c r="BT58" s="3"/>
      <c r="BU58" s="3"/>
      <c r="BV58" s="4"/>
      <c r="BW58" s="271"/>
      <c r="BX58" s="271"/>
      <c r="BY58" s="271"/>
      <c r="BZ58" s="271"/>
      <c r="CA58" s="271"/>
      <c r="CB58" s="271"/>
      <c r="CC58" s="271"/>
    </row>
    <row r="59" spans="3:96" x14ac:dyDescent="0.25">
      <c r="C59" s="6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4"/>
      <c r="AW59" s="261"/>
      <c r="AX59" s="73"/>
      <c r="AY59" s="73"/>
      <c r="AZ59" s="6"/>
      <c r="BA59" s="231" t="s">
        <v>71</v>
      </c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3"/>
      <c r="BN59" s="105"/>
      <c r="BO59" s="3"/>
      <c r="BP59" s="3"/>
      <c r="BQ59" s="3"/>
      <c r="BR59" s="3"/>
      <c r="BS59" s="3"/>
      <c r="BT59" s="3"/>
      <c r="BU59" s="67" t="s">
        <v>112</v>
      </c>
      <c r="BV59" s="92"/>
      <c r="BW59" s="3"/>
      <c r="BX59" s="3"/>
      <c r="BY59" s="3"/>
      <c r="BZ59" s="3"/>
      <c r="CA59" s="3"/>
      <c r="CB59" s="3"/>
      <c r="CC59" s="3"/>
    </row>
    <row r="60" spans="3:96" ht="18" x14ac:dyDescent="0.35">
      <c r="C60" s="6"/>
      <c r="D60" s="220" t="s">
        <v>46</v>
      </c>
      <c r="E60" s="221"/>
      <c r="F60" s="221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221"/>
      <c r="S60" s="221"/>
      <c r="T60" s="221"/>
      <c r="U60" s="221"/>
      <c r="V60" s="221"/>
      <c r="W60" s="221"/>
      <c r="X60" s="221"/>
      <c r="Y60" s="221"/>
      <c r="Z60" s="221"/>
      <c r="AA60" s="221"/>
      <c r="AB60" s="221"/>
      <c r="AC60" s="221"/>
      <c r="AD60" s="221"/>
      <c r="AE60" s="221"/>
      <c r="AF60" s="221"/>
      <c r="AG60" s="221"/>
      <c r="AH60" s="221"/>
      <c r="AI60" s="221"/>
      <c r="AJ60" s="221"/>
      <c r="AK60" s="221"/>
      <c r="AL60" s="221"/>
      <c r="AM60" s="221"/>
      <c r="AN60" s="221"/>
      <c r="AO60" s="221"/>
      <c r="AP60" s="221"/>
      <c r="AQ60" s="221"/>
      <c r="AR60" s="221"/>
      <c r="AS60" s="221"/>
      <c r="AT60" s="221"/>
      <c r="AU60" s="222"/>
      <c r="AV60" s="4"/>
      <c r="AW60" s="261"/>
      <c r="AX60" s="73"/>
      <c r="AY60" s="73"/>
      <c r="AZ60" s="6"/>
      <c r="BA60" s="231" t="s">
        <v>70</v>
      </c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3"/>
      <c r="BN60" s="105"/>
      <c r="BO60" s="3"/>
      <c r="BP60" s="3"/>
      <c r="BQ60" s="3"/>
      <c r="BR60" s="3"/>
      <c r="BS60" s="3"/>
      <c r="BT60" s="3"/>
      <c r="BU60" s="67" t="s">
        <v>116</v>
      </c>
      <c r="BV60" s="92"/>
      <c r="BW60" s="3"/>
      <c r="BX60" s="3"/>
      <c r="BY60" s="3"/>
      <c r="BZ60" s="3"/>
      <c r="CA60" s="3"/>
      <c r="CB60" s="3"/>
      <c r="CC60" s="3"/>
    </row>
    <row r="61" spans="3:96" ht="4.5" customHeight="1" x14ac:dyDescent="0.25">
      <c r="C61" s="6"/>
      <c r="D61" s="18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19"/>
      <c r="AV61" s="4"/>
      <c r="AW61" s="261"/>
      <c r="AX61" s="73"/>
      <c r="AY61" s="73"/>
      <c r="AZ61" s="6"/>
      <c r="BA61" s="65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3"/>
      <c r="BN61" s="3"/>
      <c r="BO61" s="3"/>
      <c r="BP61" s="3"/>
      <c r="BQ61" s="3"/>
      <c r="BR61" s="3"/>
      <c r="BS61" s="3"/>
      <c r="BT61" s="3"/>
      <c r="BU61" s="67"/>
      <c r="BV61" s="92"/>
      <c r="BW61" s="3"/>
      <c r="BX61" s="3"/>
      <c r="BY61" s="3"/>
      <c r="BZ61" s="3"/>
      <c r="CA61" s="3"/>
      <c r="CB61" s="3"/>
      <c r="CC61" s="3"/>
    </row>
    <row r="62" spans="3:96" x14ac:dyDescent="0.25">
      <c r="C62" s="6"/>
      <c r="D62" s="20"/>
      <c r="E62" s="151" t="s">
        <v>47</v>
      </c>
      <c r="F62" s="152"/>
      <c r="G62" s="152"/>
      <c r="H62" s="152"/>
      <c r="I62" s="152"/>
      <c r="J62" s="152"/>
      <c r="K62" s="152"/>
      <c r="L62" s="152"/>
      <c r="M62" s="153"/>
      <c r="N62" s="13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160"/>
      <c r="AL62" s="160"/>
      <c r="AM62" s="160"/>
      <c r="AN62" s="160"/>
      <c r="AO62" s="160"/>
      <c r="AP62" s="160"/>
      <c r="AQ62" s="160"/>
      <c r="AR62" s="160"/>
      <c r="AS62" s="160"/>
      <c r="AT62" s="161"/>
      <c r="AU62" s="19"/>
      <c r="AV62" s="4"/>
      <c r="AW62" s="261"/>
      <c r="AX62" s="73"/>
      <c r="AY62" s="73"/>
      <c r="AZ62" s="6"/>
      <c r="BA62" s="231" t="s">
        <v>72</v>
      </c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3"/>
      <c r="BN62" s="3"/>
      <c r="BO62" s="3"/>
      <c r="BP62" s="3"/>
      <c r="BQ62" s="3"/>
      <c r="BR62" s="3"/>
      <c r="BS62" s="3"/>
      <c r="BT62" s="3"/>
      <c r="BU62" s="67" t="s">
        <v>115</v>
      </c>
      <c r="BV62" s="92"/>
      <c r="BW62" s="3"/>
      <c r="BX62" s="3"/>
      <c r="BY62" s="3"/>
      <c r="BZ62" s="3"/>
      <c r="CA62" s="3"/>
      <c r="CB62" s="3"/>
      <c r="CC62" s="3"/>
    </row>
    <row r="63" spans="3:96" ht="4.5" customHeight="1" x14ac:dyDescent="0.25">
      <c r="C63" s="6"/>
      <c r="D63" s="18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19"/>
      <c r="AV63" s="4"/>
      <c r="AW63" s="261"/>
      <c r="AX63" s="73"/>
      <c r="AY63" s="73"/>
      <c r="AZ63" s="6"/>
      <c r="BA63" s="36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3"/>
      <c r="BN63" s="3"/>
      <c r="BO63" s="3"/>
      <c r="BP63" s="3"/>
      <c r="BQ63" s="3"/>
      <c r="BR63" s="3"/>
      <c r="BS63" s="3"/>
      <c r="BT63" s="3"/>
      <c r="BU63" s="3"/>
      <c r="BV63" s="4"/>
    </row>
    <row r="64" spans="3:96" x14ac:dyDescent="0.25">
      <c r="C64" s="6"/>
      <c r="D64" s="20"/>
      <c r="E64" s="151" t="s">
        <v>49</v>
      </c>
      <c r="F64" s="152"/>
      <c r="G64" s="152"/>
      <c r="H64" s="152"/>
      <c r="I64" s="152"/>
      <c r="J64" s="152"/>
      <c r="K64" s="152"/>
      <c r="L64" s="152"/>
      <c r="M64" s="153"/>
      <c r="N64" s="130"/>
      <c r="O64" s="160"/>
      <c r="P64" s="160"/>
      <c r="Q64" s="160"/>
      <c r="R64" s="160"/>
      <c r="S64" s="160"/>
      <c r="T64" s="160"/>
      <c r="U64" s="149"/>
      <c r="V64" s="152"/>
      <c r="W64" s="152"/>
      <c r="X64" s="152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8"/>
      <c r="AU64" s="19"/>
      <c r="AV64" s="4"/>
      <c r="AW64" s="261"/>
      <c r="AX64" s="73"/>
      <c r="AY64" s="73"/>
      <c r="AZ64" s="6"/>
      <c r="BA64" s="231" t="s">
        <v>48</v>
      </c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3"/>
      <c r="BN64" s="3"/>
      <c r="BO64" s="3"/>
      <c r="BP64" s="3"/>
      <c r="BQ64" s="3"/>
      <c r="BR64" s="3"/>
      <c r="BS64" s="3"/>
      <c r="BT64" s="3"/>
      <c r="BU64" s="3"/>
      <c r="BV64" s="4"/>
    </row>
    <row r="65" spans="3:81" ht="4.5" customHeight="1" x14ac:dyDescent="0.25">
      <c r="C65" s="6"/>
      <c r="D65" s="18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19"/>
      <c r="AV65" s="4"/>
      <c r="AW65" s="261"/>
      <c r="AX65" s="73"/>
      <c r="AY65" s="73"/>
      <c r="AZ65" s="6"/>
      <c r="BA65" s="27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4"/>
    </row>
    <row r="66" spans="3:81" x14ac:dyDescent="0.25">
      <c r="C66" s="6"/>
      <c r="D66" s="20"/>
      <c r="E66" s="151" t="s">
        <v>58</v>
      </c>
      <c r="F66" s="152"/>
      <c r="G66" s="152"/>
      <c r="H66" s="152"/>
      <c r="I66" s="152"/>
      <c r="J66" s="152"/>
      <c r="K66" s="152"/>
      <c r="L66" s="152"/>
      <c r="M66" s="153"/>
      <c r="N66" s="130"/>
      <c r="O66" s="160"/>
      <c r="P66" s="160"/>
      <c r="Q66" s="160"/>
      <c r="R66" s="160"/>
      <c r="S66" s="160"/>
      <c r="T66" s="160"/>
      <c r="U66" s="121" t="s">
        <v>73</v>
      </c>
      <c r="V66" s="150"/>
      <c r="W66" s="160" t="s">
        <v>50</v>
      </c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160"/>
      <c r="AL66" s="160"/>
      <c r="AM66" s="160"/>
      <c r="AN66" s="160"/>
      <c r="AO66" s="160"/>
      <c r="AP66" s="160"/>
      <c r="AQ66" s="160"/>
      <c r="AR66" s="160"/>
      <c r="AS66" s="128"/>
      <c r="AT66" s="129"/>
      <c r="AU66" s="19"/>
      <c r="AV66" s="4"/>
      <c r="AW66" s="261"/>
      <c r="AX66" s="73"/>
      <c r="AY66" s="73"/>
      <c r="AZ66" s="6"/>
      <c r="BA66" s="27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4"/>
    </row>
    <row r="67" spans="3:81" ht="14.25" customHeight="1" x14ac:dyDescent="0.25">
      <c r="C67" s="6"/>
      <c r="D67" s="18"/>
      <c r="E67" s="3"/>
      <c r="F67" s="3"/>
      <c r="G67" s="3"/>
      <c r="H67" s="3"/>
      <c r="I67" s="3"/>
      <c r="J67" s="3"/>
      <c r="K67" s="3"/>
      <c r="L67" s="3"/>
      <c r="M67" s="3"/>
      <c r="V67" s="124"/>
      <c r="W67" s="159" t="s">
        <v>51</v>
      </c>
      <c r="X67" s="159"/>
      <c r="Y67" s="159"/>
      <c r="Z67" s="159"/>
      <c r="AA67" s="159"/>
      <c r="AB67" s="159"/>
      <c r="AC67" s="159"/>
      <c r="AD67" s="159"/>
      <c r="AE67" s="159"/>
      <c r="AF67" s="159"/>
      <c r="AG67" s="125"/>
      <c r="AH67" s="125"/>
      <c r="AI67" s="125"/>
      <c r="AJ67" s="125"/>
      <c r="AK67" s="125"/>
      <c r="AL67" s="125"/>
      <c r="AM67" s="125"/>
      <c r="AN67" s="125"/>
      <c r="AO67" s="125"/>
      <c r="AP67" s="125"/>
      <c r="AQ67" s="125"/>
      <c r="AR67" s="125"/>
      <c r="AS67" s="125"/>
      <c r="AT67" s="126"/>
      <c r="AU67" s="19"/>
      <c r="AV67" s="4"/>
      <c r="AW67" s="261"/>
      <c r="AX67" s="73"/>
      <c r="AY67" s="73"/>
      <c r="AZ67" s="6"/>
      <c r="BA67" s="27"/>
      <c r="BB67" s="231" t="s">
        <v>77</v>
      </c>
      <c r="BC67" s="231"/>
      <c r="BD67" s="231"/>
      <c r="BE67" s="231"/>
      <c r="BF67" s="231"/>
      <c r="BG67" s="231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4"/>
    </row>
    <row r="68" spans="3:81" ht="4.5" customHeight="1" x14ac:dyDescent="0.25">
      <c r="C68" s="6"/>
      <c r="D68" s="18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19"/>
      <c r="AV68" s="4"/>
      <c r="AW68" s="261"/>
      <c r="AX68" s="73"/>
      <c r="AY68" s="73"/>
      <c r="AZ68" s="6"/>
      <c r="BA68" s="27"/>
      <c r="BB68" s="231"/>
      <c r="BC68" s="231"/>
      <c r="BD68" s="231"/>
      <c r="BE68" s="231"/>
      <c r="BF68" s="231"/>
      <c r="BG68" s="231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4"/>
    </row>
    <row r="69" spans="3:81" x14ac:dyDescent="0.25">
      <c r="C69" s="6"/>
      <c r="D69" s="20"/>
      <c r="E69" s="151" t="s">
        <v>59</v>
      </c>
      <c r="F69" s="152"/>
      <c r="G69" s="152"/>
      <c r="H69" s="152"/>
      <c r="I69" s="152"/>
      <c r="J69" s="152"/>
      <c r="K69" s="152"/>
      <c r="L69" s="152"/>
      <c r="M69" s="153"/>
      <c r="N69" s="127"/>
      <c r="O69" s="160"/>
      <c r="P69" s="160"/>
      <c r="Q69" s="160"/>
      <c r="R69" s="160"/>
      <c r="S69" s="160"/>
      <c r="T69" s="160"/>
      <c r="U69" s="121" t="s">
        <v>73</v>
      </c>
      <c r="V69" s="127"/>
      <c r="W69" s="160" t="s">
        <v>52</v>
      </c>
      <c r="X69" s="160"/>
      <c r="Y69" s="160"/>
      <c r="Z69" s="160"/>
      <c r="AA69" s="160"/>
      <c r="AB69" s="160"/>
      <c r="AC69" s="160"/>
      <c r="AD69" s="160"/>
      <c r="AE69" s="160"/>
      <c r="AF69" s="160"/>
      <c r="AG69" s="160"/>
      <c r="AH69" s="160"/>
      <c r="AI69" s="160"/>
      <c r="AJ69" s="160"/>
      <c r="AK69" s="160"/>
      <c r="AL69" s="160"/>
      <c r="AM69" s="160"/>
      <c r="AN69" s="160"/>
      <c r="AO69" s="160"/>
      <c r="AP69" s="160"/>
      <c r="AQ69" s="160"/>
      <c r="AR69" s="160"/>
      <c r="AS69" s="160"/>
      <c r="AT69" s="161"/>
      <c r="AU69" s="19"/>
      <c r="AV69" s="4"/>
      <c r="AW69" s="261"/>
      <c r="AX69" s="73"/>
      <c r="AY69" s="73"/>
      <c r="AZ69" s="6"/>
      <c r="BA69" s="27"/>
      <c r="BB69" s="231" t="s">
        <v>78</v>
      </c>
      <c r="BC69" s="231"/>
      <c r="BD69" s="231"/>
      <c r="BE69" s="231"/>
      <c r="BF69" s="231"/>
      <c r="BG69" s="231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4"/>
    </row>
    <row r="70" spans="3:81" x14ac:dyDescent="0.25">
      <c r="C70" s="6"/>
      <c r="D70" s="20"/>
      <c r="E70" s="12"/>
      <c r="F70" s="12"/>
      <c r="G70" s="12"/>
      <c r="H70" s="12"/>
      <c r="I70" s="12"/>
      <c r="J70" s="12"/>
      <c r="K70" s="12"/>
      <c r="L70" s="12"/>
      <c r="M70" s="12"/>
      <c r="N70" s="38"/>
      <c r="O70" s="10"/>
      <c r="P70" s="10"/>
      <c r="Q70" s="10"/>
      <c r="R70" s="38"/>
      <c r="S70" s="10"/>
      <c r="T70" s="42"/>
      <c r="U70" s="42"/>
      <c r="V70" s="127"/>
      <c r="W70" s="160" t="s">
        <v>74</v>
      </c>
      <c r="X70" s="160"/>
      <c r="Y70" s="160"/>
      <c r="Z70" s="160"/>
      <c r="AA70" s="160"/>
      <c r="AB70" s="160"/>
      <c r="AC70" s="160"/>
      <c r="AD70" s="160"/>
      <c r="AE70" s="160"/>
      <c r="AF70" s="160"/>
      <c r="AG70" s="160"/>
      <c r="AH70" s="160"/>
      <c r="AI70" s="160"/>
      <c r="AJ70" s="160"/>
      <c r="AK70" s="160"/>
      <c r="AL70" s="160"/>
      <c r="AM70" s="160"/>
      <c r="AN70" s="160"/>
      <c r="AO70" s="160"/>
      <c r="AP70" s="160"/>
      <c r="AQ70" s="160"/>
      <c r="AR70" s="160"/>
      <c r="AS70" s="160"/>
      <c r="AT70" s="161"/>
      <c r="AU70" s="19"/>
      <c r="AV70" s="4"/>
      <c r="AW70" s="261"/>
      <c r="AX70" s="73"/>
      <c r="AY70" s="73"/>
      <c r="AZ70" s="6"/>
      <c r="BA70" s="27"/>
      <c r="BB70" s="231" t="s">
        <v>61</v>
      </c>
      <c r="BC70" s="231"/>
      <c r="BD70" s="231"/>
      <c r="BE70" s="231"/>
      <c r="BF70" s="231"/>
      <c r="BG70" s="231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4"/>
    </row>
    <row r="71" spans="3:81" ht="4.5" customHeight="1" x14ac:dyDescent="0.25">
      <c r="C71" s="6"/>
      <c r="D71" s="18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19"/>
      <c r="AV71" s="4"/>
      <c r="AW71" s="261"/>
      <c r="AX71" s="73"/>
      <c r="AY71" s="73"/>
      <c r="AZ71" s="6"/>
      <c r="BA71" s="27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4"/>
    </row>
    <row r="72" spans="3:81" ht="14.25" customHeight="1" x14ac:dyDescent="0.25">
      <c r="C72" s="6"/>
      <c r="D72" s="18"/>
      <c r="E72" s="151" t="s">
        <v>60</v>
      </c>
      <c r="F72" s="152"/>
      <c r="G72" s="152"/>
      <c r="H72" s="152"/>
      <c r="I72" s="152"/>
      <c r="J72" s="152"/>
      <c r="K72" s="152"/>
      <c r="L72" s="152"/>
      <c r="M72" s="153"/>
      <c r="N72" s="127"/>
      <c r="O72" s="160" t="s">
        <v>53</v>
      </c>
      <c r="P72" s="160"/>
      <c r="Q72" s="160"/>
      <c r="R72" s="160"/>
      <c r="S72" s="160"/>
      <c r="T72" s="160"/>
      <c r="U72" s="160"/>
      <c r="V72" s="160"/>
      <c r="W72" s="160"/>
      <c r="X72" s="160"/>
      <c r="Y72" s="160"/>
      <c r="Z72" s="160"/>
      <c r="AA72" s="160"/>
      <c r="AB72" s="160"/>
      <c r="AC72" s="160"/>
      <c r="AD72" s="160"/>
      <c r="AE72" s="160"/>
      <c r="AF72" s="160"/>
      <c r="AG72" s="160"/>
      <c r="AH72" s="160"/>
      <c r="AI72" s="160"/>
      <c r="AJ72" s="160"/>
      <c r="AK72" s="160"/>
      <c r="AL72" s="160"/>
      <c r="AM72" s="160"/>
      <c r="AN72" s="160"/>
      <c r="AO72" s="160"/>
      <c r="AP72" s="160"/>
      <c r="AQ72" s="160"/>
      <c r="AR72" s="160"/>
      <c r="AS72" s="160"/>
      <c r="AT72" s="161"/>
      <c r="AU72" s="19"/>
      <c r="AV72" s="4"/>
      <c r="AW72" s="261"/>
      <c r="AX72" s="73"/>
      <c r="AY72" s="73"/>
      <c r="AZ72" s="6"/>
      <c r="BA72" s="27"/>
      <c r="BB72" s="231" t="s">
        <v>75</v>
      </c>
      <c r="BC72" s="231"/>
      <c r="BD72" s="231"/>
      <c r="BE72" s="231"/>
      <c r="BF72" s="231"/>
      <c r="BG72" s="231"/>
      <c r="BH72" s="231"/>
      <c r="BI72" s="231"/>
      <c r="BJ72" s="231"/>
      <c r="BK72" s="231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4"/>
    </row>
    <row r="73" spans="3:81" x14ac:dyDescent="0.25">
      <c r="C73" s="6"/>
      <c r="D73" s="20"/>
      <c r="E73" s="12"/>
      <c r="F73" s="12"/>
      <c r="G73" s="12"/>
      <c r="H73" s="12"/>
      <c r="I73" s="12"/>
      <c r="J73" s="12"/>
      <c r="K73" s="12"/>
      <c r="L73" s="12"/>
      <c r="M73" s="12"/>
      <c r="N73" s="127"/>
      <c r="O73" s="160" t="s">
        <v>55</v>
      </c>
      <c r="P73" s="160"/>
      <c r="Q73" s="160"/>
      <c r="R73" s="160"/>
      <c r="S73" s="160"/>
      <c r="T73" s="160"/>
      <c r="U73" s="160"/>
      <c r="V73" s="160"/>
      <c r="W73" s="160"/>
      <c r="X73" s="160"/>
      <c r="Y73" s="160"/>
      <c r="Z73" s="160"/>
      <c r="AA73" s="160"/>
      <c r="AB73" s="160"/>
      <c r="AC73" s="160"/>
      <c r="AD73" s="160"/>
      <c r="AE73" s="160"/>
      <c r="AF73" s="160"/>
      <c r="AG73" s="160"/>
      <c r="AH73" s="160"/>
      <c r="AI73" s="160"/>
      <c r="AJ73" s="160"/>
      <c r="AK73" s="160"/>
      <c r="AL73" s="160"/>
      <c r="AM73" s="160"/>
      <c r="AN73" s="160"/>
      <c r="AO73" s="160"/>
      <c r="AP73" s="160"/>
      <c r="AQ73" s="160"/>
      <c r="AR73" s="160"/>
      <c r="AS73" s="160"/>
      <c r="AT73" s="161"/>
      <c r="AU73" s="19"/>
      <c r="AV73" s="4"/>
      <c r="AW73" s="261"/>
      <c r="AX73" s="73"/>
      <c r="AY73" s="73"/>
      <c r="AZ73" s="6"/>
      <c r="BA73" s="27"/>
      <c r="BB73" s="231" t="s">
        <v>76</v>
      </c>
      <c r="BC73" s="231"/>
      <c r="BD73" s="231"/>
      <c r="BE73" s="231"/>
      <c r="BF73" s="231"/>
      <c r="BG73" s="231"/>
      <c r="BH73" s="231"/>
      <c r="BI73" s="231"/>
      <c r="BJ73" s="231"/>
      <c r="BK73" s="231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4"/>
    </row>
    <row r="74" spans="3:81" ht="4.5" customHeight="1" x14ac:dyDescent="0.25">
      <c r="C74" s="6"/>
      <c r="D74" s="18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19"/>
      <c r="AV74" s="4"/>
      <c r="AW74" s="261"/>
      <c r="AX74" s="73"/>
      <c r="AY74" s="73"/>
      <c r="AZ74" s="6"/>
      <c r="BA74" s="27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4"/>
    </row>
    <row r="75" spans="3:81" x14ac:dyDescent="0.25">
      <c r="C75" s="6"/>
      <c r="D75" s="20"/>
      <c r="E75" s="151" t="s">
        <v>56</v>
      </c>
      <c r="F75" s="152"/>
      <c r="G75" s="152"/>
      <c r="H75" s="152"/>
      <c r="I75" s="152"/>
      <c r="J75" s="152"/>
      <c r="K75" s="152"/>
      <c r="L75" s="152"/>
      <c r="M75" s="153"/>
      <c r="N75" s="127"/>
      <c r="O75" s="152" t="s">
        <v>48</v>
      </c>
      <c r="P75" s="152"/>
      <c r="Q75" s="152"/>
      <c r="R75" s="152"/>
      <c r="S75" s="152"/>
      <c r="T75" s="152"/>
      <c r="U75" s="152"/>
      <c r="V75" s="152"/>
      <c r="W75" s="152"/>
      <c r="X75" s="152"/>
      <c r="Y75" s="152"/>
      <c r="Z75" s="152"/>
      <c r="AA75" s="152"/>
      <c r="AB75" s="152"/>
      <c r="AC75" s="152"/>
      <c r="AD75" s="152"/>
      <c r="AE75" s="152"/>
      <c r="AF75" s="152"/>
      <c r="AG75" s="152"/>
      <c r="AH75" s="152"/>
      <c r="AI75" s="152"/>
      <c r="AJ75" s="152"/>
      <c r="AK75" s="152"/>
      <c r="AL75" s="152"/>
      <c r="AM75" s="152"/>
      <c r="AN75" s="152"/>
      <c r="AO75" s="152"/>
      <c r="AP75" s="152"/>
      <c r="AQ75" s="152"/>
      <c r="AR75" s="152"/>
      <c r="AS75" s="152"/>
      <c r="AT75" s="153"/>
      <c r="AU75" s="19"/>
      <c r="AV75" s="4"/>
      <c r="AW75" s="261"/>
      <c r="AX75" s="73"/>
      <c r="AY75" s="73"/>
      <c r="AZ75" s="6"/>
      <c r="BA75" s="27"/>
      <c r="BB75" s="231" t="s">
        <v>54</v>
      </c>
      <c r="BC75" s="231"/>
      <c r="BD75" s="231"/>
      <c r="BE75" s="231"/>
      <c r="BF75" s="231"/>
      <c r="BG75" s="231"/>
      <c r="BH75" s="231"/>
      <c r="BI75" s="231"/>
      <c r="BJ75" s="231"/>
      <c r="BK75" s="231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4"/>
    </row>
    <row r="76" spans="3:81" ht="9" customHeight="1" thickBot="1" x14ac:dyDescent="0.3">
      <c r="C76" s="6"/>
      <c r="D76" s="20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19"/>
      <c r="AV76" s="4"/>
      <c r="AW76" s="261"/>
      <c r="AX76" s="73"/>
      <c r="AY76" s="73"/>
      <c r="AZ76" s="8"/>
      <c r="BA76" s="66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15"/>
      <c r="BW76" s="41"/>
    </row>
    <row r="77" spans="3:81" ht="14.25" customHeight="1" x14ac:dyDescent="0.25">
      <c r="C77" s="6"/>
      <c r="D77" s="18"/>
      <c r="E77" s="154" t="s">
        <v>57</v>
      </c>
      <c r="F77" s="155"/>
      <c r="G77" s="155"/>
      <c r="H77" s="155"/>
      <c r="I77" s="155"/>
      <c r="J77" s="155"/>
      <c r="K77" s="156"/>
      <c r="L77" s="282"/>
      <c r="M77" s="283"/>
      <c r="N77" s="283"/>
      <c r="O77" s="283"/>
      <c r="P77" s="283"/>
      <c r="Q77" s="283"/>
      <c r="R77" s="283"/>
      <c r="S77" s="283"/>
      <c r="T77" s="283"/>
      <c r="U77" s="283"/>
      <c r="V77" s="283"/>
      <c r="W77" s="283"/>
      <c r="X77" s="283"/>
      <c r="Y77" s="283"/>
      <c r="Z77" s="283"/>
      <c r="AA77" s="283"/>
      <c r="AB77" s="283"/>
      <c r="AC77" s="283"/>
      <c r="AD77" s="283"/>
      <c r="AE77" s="283"/>
      <c r="AF77" s="283"/>
      <c r="AG77" s="283"/>
      <c r="AH77" s="283"/>
      <c r="AI77" s="283"/>
      <c r="AJ77" s="283"/>
      <c r="AK77" s="283"/>
      <c r="AL77" s="283"/>
      <c r="AM77" s="283"/>
      <c r="AN77" s="283"/>
      <c r="AO77" s="283"/>
      <c r="AP77" s="283"/>
      <c r="AQ77" s="283"/>
      <c r="AR77" s="283"/>
      <c r="AS77" s="283"/>
      <c r="AT77" s="123"/>
      <c r="AU77" s="19"/>
      <c r="AV77" s="4"/>
      <c r="AW77" s="261"/>
      <c r="AX77" s="73"/>
      <c r="AY77" s="73"/>
      <c r="BW77" s="41"/>
    </row>
    <row r="78" spans="3:81" ht="14.25" customHeight="1" x14ac:dyDescent="0.25">
      <c r="C78" s="6"/>
      <c r="D78" s="18"/>
      <c r="E78" s="131"/>
      <c r="F78" s="132"/>
      <c r="G78" s="132"/>
      <c r="H78" s="132"/>
      <c r="I78" s="132"/>
      <c r="J78" s="132"/>
      <c r="K78" s="133"/>
      <c r="L78" s="284"/>
      <c r="M78" s="285"/>
      <c r="N78" s="285"/>
      <c r="O78" s="285"/>
      <c r="P78" s="285"/>
      <c r="Q78" s="285"/>
      <c r="R78" s="285"/>
      <c r="S78" s="285"/>
      <c r="T78" s="285"/>
      <c r="U78" s="285"/>
      <c r="V78" s="285"/>
      <c r="W78" s="285"/>
      <c r="X78" s="285"/>
      <c r="Y78" s="285"/>
      <c r="Z78" s="285"/>
      <c r="AA78" s="285"/>
      <c r="AB78" s="285"/>
      <c r="AC78" s="285"/>
      <c r="AD78" s="285"/>
      <c r="AE78" s="285"/>
      <c r="AF78" s="285"/>
      <c r="AG78" s="285"/>
      <c r="AH78" s="285"/>
      <c r="AI78" s="285"/>
      <c r="AJ78" s="285"/>
      <c r="AK78" s="285"/>
      <c r="AL78" s="285"/>
      <c r="AM78" s="285"/>
      <c r="AN78" s="285"/>
      <c r="AO78" s="285"/>
      <c r="AP78" s="285"/>
      <c r="AQ78" s="285"/>
      <c r="AR78" s="285"/>
      <c r="AS78" s="285"/>
      <c r="AT78" s="126"/>
      <c r="AU78" s="19"/>
      <c r="AV78" s="4"/>
      <c r="AW78" s="261"/>
      <c r="AX78" s="73"/>
      <c r="AY78" s="73"/>
      <c r="BW78" s="41"/>
    </row>
    <row r="79" spans="3:81" ht="14.25" customHeight="1" x14ac:dyDescent="0.25">
      <c r="C79" s="6"/>
      <c r="D79" s="21"/>
      <c r="E79" s="43"/>
      <c r="F79" s="43"/>
      <c r="G79" s="43"/>
      <c r="H79" s="43"/>
      <c r="I79" s="43"/>
      <c r="J79" s="43"/>
      <c r="K79" s="43"/>
      <c r="L79" s="286"/>
      <c r="M79" s="286"/>
      <c r="N79" s="286"/>
      <c r="O79" s="286"/>
      <c r="P79" s="286"/>
      <c r="Q79" s="286"/>
      <c r="R79" s="286"/>
      <c r="S79" s="286"/>
      <c r="T79" s="286"/>
      <c r="U79" s="286"/>
      <c r="V79" s="286"/>
      <c r="W79" s="286"/>
      <c r="X79" s="286"/>
      <c r="Y79" s="286"/>
      <c r="Z79" s="286"/>
      <c r="AA79" s="286"/>
      <c r="AB79" s="286"/>
      <c r="AC79" s="286"/>
      <c r="AD79" s="286"/>
      <c r="AE79" s="286"/>
      <c r="AF79" s="286"/>
      <c r="AG79" s="286"/>
      <c r="AH79" s="286"/>
      <c r="AI79" s="286"/>
      <c r="AJ79" s="286"/>
      <c r="AK79" s="286"/>
      <c r="AL79" s="286"/>
      <c r="AM79" s="286"/>
      <c r="AN79" s="286"/>
      <c r="AO79" s="286"/>
      <c r="AP79" s="286"/>
      <c r="AQ79" s="286"/>
      <c r="AR79" s="286"/>
      <c r="AS79" s="286"/>
      <c r="AT79" s="22"/>
      <c r="AU79" s="23"/>
      <c r="AV79" s="4"/>
      <c r="AW79" s="261"/>
      <c r="AX79" s="73"/>
      <c r="AY79" s="73"/>
      <c r="BW79" s="41"/>
    </row>
    <row r="80" spans="3:81" ht="14.4" thickBot="1" x14ac:dyDescent="0.3">
      <c r="C80" s="8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15"/>
      <c r="AW80" s="261"/>
      <c r="AX80" s="73"/>
      <c r="AY80" s="73"/>
      <c r="BW80" s="41"/>
      <c r="BY80" s="78" t="s">
        <v>96</v>
      </c>
      <c r="BZ80" s="80" t="s">
        <v>97</v>
      </c>
      <c r="CA80" s="67"/>
      <c r="CB80" s="67"/>
      <c r="CC80" s="67"/>
    </row>
    <row r="81" spans="4:82" x14ac:dyDescent="0.25">
      <c r="D81" s="287" t="s">
        <v>80</v>
      </c>
      <c r="E81" s="287"/>
      <c r="F81" s="287"/>
      <c r="G81" s="287"/>
      <c r="H81" s="287"/>
      <c r="I81" s="287"/>
      <c r="J81" s="287"/>
      <c r="K81" s="287"/>
      <c r="L81" s="287"/>
      <c r="M81" s="287"/>
      <c r="N81" s="287"/>
      <c r="O81" s="287"/>
      <c r="P81" s="287"/>
      <c r="Q81" s="287"/>
      <c r="R81" s="287"/>
      <c r="S81" s="287"/>
      <c r="T81" s="287"/>
      <c r="U81" s="287"/>
      <c r="V81" s="287"/>
      <c r="W81" s="287"/>
      <c r="X81" s="287"/>
      <c r="Y81" s="287"/>
      <c r="Z81" s="287"/>
      <c r="AA81" s="287"/>
      <c r="AB81" s="287"/>
      <c r="AC81" s="287"/>
      <c r="AD81" s="287"/>
      <c r="AE81" s="287"/>
      <c r="AF81" s="287"/>
      <c r="AG81" s="287"/>
      <c r="AH81" s="287"/>
      <c r="AI81" s="287"/>
      <c r="AJ81" s="287"/>
      <c r="AK81" s="287"/>
      <c r="AL81" s="287"/>
      <c r="AM81" s="287"/>
      <c r="AN81" s="287"/>
      <c r="AO81" s="287"/>
      <c r="AP81" s="287"/>
      <c r="AQ81" s="287"/>
      <c r="AR81" s="287"/>
      <c r="AS81" s="287"/>
      <c r="AT81" s="287"/>
      <c r="AU81" s="287"/>
      <c r="BX81" s="67" t="s">
        <v>92</v>
      </c>
      <c r="BY81" s="74">
        <f>W5</f>
        <v>0</v>
      </c>
      <c r="BZ81" s="81" t="str">
        <f>RIGHT(BY81,6)</f>
        <v>0</v>
      </c>
      <c r="CA81" s="67"/>
      <c r="CB81" s="67"/>
      <c r="CC81" s="67"/>
    </row>
    <row r="82" spans="4:82" x14ac:dyDescent="0.25">
      <c r="BX82" s="68"/>
      <c r="BY82" s="74"/>
      <c r="BZ82" s="81"/>
      <c r="CA82" s="67"/>
      <c r="CB82" s="67"/>
      <c r="CC82" s="67"/>
    </row>
    <row r="83" spans="4:82" x14ac:dyDescent="0.25">
      <c r="D83" s="3"/>
      <c r="E83" s="3"/>
      <c r="F83" s="3"/>
      <c r="G83" s="3"/>
      <c r="H83" s="3"/>
      <c r="I83" s="3"/>
      <c r="J83" s="3"/>
      <c r="K83" s="3"/>
      <c r="L83" s="3"/>
      <c r="BX83" s="67" t="s">
        <v>90</v>
      </c>
      <c r="BY83" s="74">
        <f>K10</f>
        <v>0</v>
      </c>
      <c r="BZ83" s="81" t="str">
        <f>IF(BY83="HAZEBROUCK (59190)","Hazebrouck"," ")</f>
        <v xml:space="preserve"> </v>
      </c>
      <c r="CA83" s="67"/>
      <c r="CB83" s="67"/>
      <c r="CC83" s="67"/>
    </row>
    <row r="84" spans="4:82" x14ac:dyDescent="0.25">
      <c r="D84" s="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6"/>
      <c r="S84" s="176"/>
      <c r="T84" s="176"/>
      <c r="U84" s="176"/>
      <c r="V84" s="176"/>
      <c r="W84" s="173"/>
      <c r="X84" s="173"/>
      <c r="Y84" s="173"/>
      <c r="Z84" s="3"/>
      <c r="BX84" s="67" t="s">
        <v>89</v>
      </c>
      <c r="BY84" s="74">
        <f>C5</f>
        <v>0</v>
      </c>
      <c r="BZ84" s="82" t="str">
        <f>CONCATENATE(CB84,"/",CC84,"/0",CD84)</f>
        <v>0/0/01</v>
      </c>
      <c r="CA84" s="83" t="str">
        <f>RIGHT(BY84,7)</f>
        <v>0</v>
      </c>
      <c r="CB84" s="67" t="str">
        <f>LEFT(CA84,4)</f>
        <v>0</v>
      </c>
      <c r="CC84" s="67" t="str">
        <f>RIGHT(CA84,2)</f>
        <v>0</v>
      </c>
      <c r="CD84" s="79">
        <v>1</v>
      </c>
    </row>
    <row r="85" spans="4:82" x14ac:dyDescent="0.25">
      <c r="D85" s="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6"/>
      <c r="S85" s="176"/>
      <c r="T85" s="176"/>
      <c r="U85" s="176"/>
      <c r="V85" s="176"/>
      <c r="W85" s="173"/>
      <c r="X85" s="173"/>
      <c r="Y85" s="173"/>
      <c r="Z85" s="3"/>
      <c r="BX85" s="67" t="s">
        <v>91</v>
      </c>
      <c r="BY85" s="74">
        <f>K11</f>
        <v>0</v>
      </c>
      <c r="BZ85" s="81">
        <f>BY85</f>
        <v>0</v>
      </c>
      <c r="CA85" s="69"/>
      <c r="CB85" s="67"/>
      <c r="CC85" s="67"/>
    </row>
    <row r="86" spans="4:82" x14ac:dyDescent="0.25">
      <c r="D86" s="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6"/>
      <c r="S86" s="176"/>
      <c r="T86" s="176"/>
      <c r="U86" s="176"/>
      <c r="V86" s="176"/>
      <c r="W86" s="173"/>
      <c r="X86" s="173"/>
      <c r="Y86" s="173"/>
      <c r="Z86" s="3"/>
      <c r="BX86" s="67" t="s">
        <v>98</v>
      </c>
      <c r="BY86" s="75" t="s">
        <v>9</v>
      </c>
      <c r="BZ86" s="84"/>
      <c r="CA86" s="69"/>
      <c r="CB86" s="67"/>
      <c r="CC86" s="91"/>
    </row>
    <row r="87" spans="4:82" x14ac:dyDescent="0.25">
      <c r="D87" s="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6"/>
      <c r="S87" s="176"/>
      <c r="T87" s="176"/>
      <c r="U87" s="176"/>
      <c r="V87" s="176"/>
      <c r="W87" s="173"/>
      <c r="X87" s="173"/>
      <c r="Y87" s="173"/>
      <c r="Z87" s="3"/>
      <c r="BX87" s="67" t="s">
        <v>117</v>
      </c>
      <c r="BY87" s="75" t="s">
        <v>135</v>
      </c>
      <c r="BZ87" s="84" t="str">
        <f>IF(BY87="autre","autr",IF(BY87="","nd",BY87))</f>
        <v>eu</v>
      </c>
      <c r="CA87" s="69"/>
      <c r="CB87" s="67"/>
      <c r="CC87" s="91"/>
    </row>
    <row r="88" spans="4:82" x14ac:dyDescent="0.25">
      <c r="D88" s="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6"/>
      <c r="S88" s="176"/>
      <c r="T88" s="176"/>
      <c r="U88" s="176"/>
      <c r="V88" s="176"/>
      <c r="W88" s="173"/>
      <c r="X88" s="173"/>
      <c r="Y88" s="173"/>
      <c r="Z88" s="3"/>
      <c r="BX88" s="67" t="s">
        <v>118</v>
      </c>
      <c r="BY88" s="74" t="s">
        <v>13</v>
      </c>
      <c r="BZ88" s="81" t="str">
        <f>IF(BY88="autre",M20,IF(BY88="","nd",BY88))</f>
        <v>regard</v>
      </c>
      <c r="CA88" s="85" t="str">
        <f>IF(BZ88="autr",AH24,"" )</f>
        <v/>
      </c>
      <c r="CB88" s="67"/>
      <c r="CC88" s="67"/>
    </row>
    <row r="89" spans="4:82" x14ac:dyDescent="0.25">
      <c r="D89" s="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6"/>
      <c r="S89" s="176"/>
      <c r="T89" s="176"/>
      <c r="U89" s="176"/>
      <c r="V89" s="176"/>
      <c r="W89" s="173"/>
      <c r="X89" s="173"/>
      <c r="Y89" s="173"/>
      <c r="Z89" s="3"/>
      <c r="BX89" s="67" t="s">
        <v>99</v>
      </c>
      <c r="BY89" s="75"/>
      <c r="BZ89" s="81" t="str">
        <f>IF(BY89="autre","autre",IF(BY89="","nd",BY89))</f>
        <v>nd</v>
      </c>
      <c r="CA89" s="69" t="str">
        <f>IF(BZ89="autre",AE22," ")</f>
        <v xml:space="preserve"> </v>
      </c>
      <c r="CB89" s="67"/>
      <c r="CC89" s="67"/>
    </row>
    <row r="90" spans="4:82" x14ac:dyDescent="0.25">
      <c r="D90" s="3"/>
      <c r="E90" s="3"/>
      <c r="F90" s="3"/>
      <c r="G90" s="3"/>
      <c r="H90" s="3"/>
      <c r="I90" s="3"/>
      <c r="J90" s="3"/>
      <c r="K90" s="3"/>
      <c r="L90" s="3"/>
      <c r="BX90" s="67" t="s">
        <v>101</v>
      </c>
      <c r="BY90" s="74"/>
      <c r="BZ90" s="81" t="str">
        <f t="shared" ref="BZ90" si="3">IF(BY90="","nd",BY90)</f>
        <v>nd</v>
      </c>
      <c r="CA90" s="69"/>
      <c r="CB90" s="67"/>
      <c r="CC90" s="67"/>
    </row>
    <row r="91" spans="4:82" x14ac:dyDescent="0.25">
      <c r="D91" s="3"/>
      <c r="E91" s="3"/>
      <c r="F91" s="3"/>
      <c r="G91" s="3"/>
      <c r="H91" s="3"/>
      <c r="I91" s="3"/>
      <c r="J91" s="3"/>
      <c r="K91" s="3"/>
      <c r="L91" s="3"/>
      <c r="BX91" s="67" t="s">
        <v>100</v>
      </c>
      <c r="BY91" s="74"/>
      <c r="BZ91" s="81" t="str">
        <f>IF(BY91="autre",AH24,IF(BY91="","nd",BY91))</f>
        <v>nd</v>
      </c>
      <c r="CA91" s="69" t="str">
        <f>IF(BZ91="autre",AH24," " )</f>
        <v xml:space="preserve"> </v>
      </c>
      <c r="CB91" s="67"/>
      <c r="CC91" s="67"/>
    </row>
    <row r="92" spans="4:82" x14ac:dyDescent="0.25">
      <c r="D92" s="3"/>
      <c r="E92" s="3"/>
      <c r="F92" s="3"/>
      <c r="G92" s="3"/>
      <c r="H92" s="3"/>
      <c r="I92" s="3"/>
      <c r="J92" s="3"/>
      <c r="K92" s="3"/>
      <c r="L92" s="3"/>
      <c r="BX92" s="67" t="s">
        <v>113</v>
      </c>
      <c r="BY92" s="74">
        <f>M25</f>
        <v>0</v>
      </c>
      <c r="BZ92" s="81" t="str">
        <f>IF(BY92=0,"nd",BY92)</f>
        <v>nd</v>
      </c>
      <c r="CA92" s="85"/>
      <c r="CB92" s="67"/>
      <c r="CC92" s="67"/>
    </row>
    <row r="93" spans="4:82" x14ac:dyDescent="0.25">
      <c r="D93" s="3"/>
      <c r="E93" s="3"/>
      <c r="F93" s="3"/>
      <c r="G93" s="3"/>
      <c r="H93" s="3"/>
      <c r="I93" s="3"/>
      <c r="J93" s="3"/>
      <c r="K93" s="3"/>
      <c r="L93" s="3"/>
      <c r="BX93" s="67" t="s">
        <v>102</v>
      </c>
      <c r="BY93" s="74"/>
      <c r="BZ93" s="81" t="str">
        <f>IF(BY93="crosse",BY93,IF(BY93="echelons",BY93,"non"))</f>
        <v>non</v>
      </c>
      <c r="CA93" s="69"/>
      <c r="CB93" s="67"/>
      <c r="CC93" s="67"/>
    </row>
    <row r="94" spans="4:82" x14ac:dyDescent="0.25">
      <c r="D94" s="3"/>
      <c r="E94" s="3"/>
      <c r="F94" s="3"/>
      <c r="G94" s="3"/>
      <c r="H94" s="3"/>
      <c r="I94" s="3"/>
      <c r="J94" s="3"/>
      <c r="K94" s="3"/>
      <c r="L94" s="3"/>
      <c r="BX94" s="67" t="s">
        <v>103</v>
      </c>
      <c r="BY94" s="74"/>
      <c r="BZ94" s="81" t="str">
        <f>IF(BY94="","nd",BY94)</f>
        <v>nd</v>
      </c>
      <c r="CA94" s="69"/>
      <c r="CB94" s="67"/>
      <c r="CC94" s="67"/>
    </row>
    <row r="95" spans="4:82" x14ac:dyDescent="0.25">
      <c r="D95" s="3"/>
      <c r="E95" s="3"/>
      <c r="F95" s="3"/>
      <c r="G95" s="3"/>
      <c r="H95" s="3"/>
      <c r="I95" s="3"/>
      <c r="J95" s="3"/>
      <c r="K95" s="3"/>
      <c r="L95" s="3"/>
      <c r="BX95" s="67" t="s">
        <v>104</v>
      </c>
      <c r="BY95" s="74"/>
      <c r="BZ95" s="81" t="str">
        <f>IF(BY95="","nd",BY95)</f>
        <v>nd</v>
      </c>
      <c r="CA95" s="69"/>
      <c r="CB95" s="69"/>
      <c r="CC95" s="67"/>
    </row>
    <row r="96" spans="4:82" x14ac:dyDescent="0.25">
      <c r="D96" s="3"/>
      <c r="E96" s="3"/>
      <c r="F96" s="3"/>
      <c r="G96" s="3"/>
      <c r="H96" s="3"/>
      <c r="I96" s="3"/>
      <c r="J96" s="3"/>
      <c r="K96" s="3"/>
      <c r="L96" s="3"/>
      <c r="BX96" s="67" t="s">
        <v>105</v>
      </c>
      <c r="BY96" s="74"/>
      <c r="BZ96" s="81" t="str">
        <f t="shared" ref="BZ96:BZ98" si="4">IF(BY96="","nd",BY96)</f>
        <v>nd</v>
      </c>
      <c r="CA96" s="69" t="str">
        <f>IF(BZ96="oui",Y64," " )</f>
        <v xml:space="preserve"> </v>
      </c>
      <c r="CB96" s="67"/>
      <c r="CC96" s="67"/>
    </row>
    <row r="97" spans="76:83" x14ac:dyDescent="0.25">
      <c r="BX97" s="67" t="s">
        <v>106</v>
      </c>
      <c r="BY97" s="74"/>
      <c r="BZ97" s="81" t="str">
        <f t="shared" si="4"/>
        <v>nd</v>
      </c>
      <c r="CA97" s="77" t="s">
        <v>114</v>
      </c>
      <c r="CB97" s="214"/>
      <c r="CC97" s="214"/>
    </row>
    <row r="98" spans="76:83" x14ac:dyDescent="0.25">
      <c r="BX98" s="67" t="s">
        <v>107</v>
      </c>
      <c r="BY98" s="74"/>
      <c r="BZ98" s="81" t="str">
        <f t="shared" si="4"/>
        <v>nd</v>
      </c>
      <c r="CA98" s="89"/>
      <c r="CB98" s="212" t="str">
        <f>IF(V70="þ","deboite",IF(V69="þ","fissure","nd"))</f>
        <v>nd</v>
      </c>
      <c r="CC98" s="213"/>
      <c r="CD98" s="67" t="str">
        <f>IF(CB98="nd"," ",CONCATENATE(CB98,"_",CA98))</f>
        <v xml:space="preserve"> </v>
      </c>
      <c r="CE98" s="88" t="str">
        <f>IF(BZ98="oui",CD98,BZ98)</f>
        <v>nd</v>
      </c>
    </row>
    <row r="99" spans="76:83" x14ac:dyDescent="0.25">
      <c r="BX99" s="67" t="s">
        <v>108</v>
      </c>
      <c r="BY99" s="74" t="s">
        <v>136</v>
      </c>
      <c r="BZ99" s="81" t="str">
        <f>IF(BY99="","non",BY99)</f>
        <v>non_accessib</v>
      </c>
      <c r="CA99" s="86"/>
      <c r="CB99" s="214"/>
      <c r="CC99" s="214"/>
      <c r="CE99" s="87"/>
    </row>
    <row r="100" spans="76:83" x14ac:dyDescent="0.25">
      <c r="BX100" s="67" t="s">
        <v>109</v>
      </c>
      <c r="BY100" s="74"/>
      <c r="BZ100" s="81" t="str">
        <f>IF(BY100="","non",BY100)</f>
        <v>non</v>
      </c>
      <c r="CA100" s="90"/>
      <c r="CB100" s="67"/>
      <c r="CC100" s="67" t="str">
        <f>IF(BZ100="oui",CA100,BZ100)</f>
        <v>non</v>
      </c>
    </row>
    <row r="101" spans="76:83" x14ac:dyDescent="0.25">
      <c r="BX101" s="67" t="s">
        <v>110</v>
      </c>
      <c r="BY101" s="209" t="str">
        <f>IF(L77="","RAS",CONCATENATE(L77," ",L78))</f>
        <v>RAS</v>
      </c>
      <c r="BZ101" s="210"/>
      <c r="CA101" s="210"/>
      <c r="CB101" s="210"/>
      <c r="CC101" s="211"/>
    </row>
    <row r="102" spans="76:83" x14ac:dyDescent="0.25">
      <c r="BX102" s="67" t="s">
        <v>93</v>
      </c>
      <c r="BY102" s="75" t="e">
        <f>AZ53</f>
        <v>#NAME?</v>
      </c>
      <c r="BZ102" s="84" t="e">
        <f>BY102</f>
        <v>#NAME?</v>
      </c>
      <c r="CA102" s="67"/>
      <c r="CB102" s="67"/>
      <c r="CC102" s="67"/>
    </row>
    <row r="103" spans="76:83" x14ac:dyDescent="0.25">
      <c r="BX103" s="67" t="s">
        <v>94</v>
      </c>
      <c r="BY103" s="75">
        <f>AZ54</f>
        <v>0</v>
      </c>
      <c r="BZ103" s="84">
        <f>BY103</f>
        <v>0</v>
      </c>
      <c r="CA103" s="67"/>
      <c r="CB103" s="67"/>
      <c r="CC103" s="67"/>
    </row>
    <row r="104" spans="76:83" x14ac:dyDescent="0.25">
      <c r="BX104" s="67" t="s">
        <v>95</v>
      </c>
      <c r="BY104" s="75">
        <f>I47</f>
        <v>0</v>
      </c>
      <c r="BZ104" s="84">
        <f>BY104</f>
        <v>0</v>
      </c>
      <c r="CA104" s="67"/>
      <c r="CB104" s="67"/>
      <c r="CC104" s="67"/>
    </row>
    <row r="107" spans="76:83" x14ac:dyDescent="0.25">
      <c r="BY107" s="27">
        <v>256</v>
      </c>
      <c r="BZ107" s="5">
        <f>ROUNDDOWN(BY107/20,0)</f>
        <v>12</v>
      </c>
      <c r="CA107" s="5">
        <f>MOD(BY107,20)</f>
        <v>16</v>
      </c>
    </row>
    <row r="108" spans="76:83" x14ac:dyDescent="0.25">
      <c r="BZ108" s="116">
        <v>1</v>
      </c>
      <c r="CA108" s="116">
        <f>IF(CB108*20&lt;$BY$107,CB108*20,CA107)</f>
        <v>20</v>
      </c>
      <c r="CB108" s="5">
        <v>1</v>
      </c>
    </row>
    <row r="109" spans="76:83" x14ac:dyDescent="0.25">
      <c r="BZ109" s="116">
        <f t="shared" ref="BZ109:BZ120" si="5">IF(CB109&lt;$BZ$107+2,CA108+1," ")</f>
        <v>21</v>
      </c>
      <c r="CA109" s="116">
        <f t="shared" ref="CA109:CA120" si="6">IF(BZ109=" "," ",IF(CB109*20&lt;$BY$107,CB109*20,CA108+$CA$107))</f>
        <v>40</v>
      </c>
      <c r="CB109" s="5">
        <v>2</v>
      </c>
    </row>
    <row r="110" spans="76:83" x14ac:dyDescent="0.25">
      <c r="BZ110" s="116">
        <f t="shared" si="5"/>
        <v>41</v>
      </c>
      <c r="CA110" s="116">
        <f t="shared" si="6"/>
        <v>60</v>
      </c>
      <c r="CB110" s="5">
        <v>3</v>
      </c>
    </row>
    <row r="111" spans="76:83" x14ac:dyDescent="0.25">
      <c r="BZ111" s="116">
        <f t="shared" si="5"/>
        <v>61</v>
      </c>
      <c r="CA111" s="116">
        <f t="shared" si="6"/>
        <v>80</v>
      </c>
      <c r="CB111" s="5">
        <v>4</v>
      </c>
    </row>
    <row r="112" spans="76:83" x14ac:dyDescent="0.25">
      <c r="BZ112" s="116">
        <f t="shared" si="5"/>
        <v>81</v>
      </c>
      <c r="CA112" s="116">
        <f t="shared" si="6"/>
        <v>100</v>
      </c>
      <c r="CB112" s="5">
        <v>5</v>
      </c>
    </row>
    <row r="113" spans="78:80" x14ac:dyDescent="0.25">
      <c r="BZ113" s="116">
        <f t="shared" si="5"/>
        <v>101</v>
      </c>
      <c r="CA113" s="116">
        <f t="shared" si="6"/>
        <v>120</v>
      </c>
      <c r="CB113" s="5">
        <v>6</v>
      </c>
    </row>
    <row r="114" spans="78:80" x14ac:dyDescent="0.25">
      <c r="BZ114" s="116">
        <f t="shared" si="5"/>
        <v>121</v>
      </c>
      <c r="CA114" s="116">
        <f t="shared" si="6"/>
        <v>140</v>
      </c>
      <c r="CB114" s="5">
        <v>7</v>
      </c>
    </row>
    <row r="115" spans="78:80" x14ac:dyDescent="0.25">
      <c r="BZ115" s="116">
        <f t="shared" si="5"/>
        <v>141</v>
      </c>
      <c r="CA115" s="116">
        <f t="shared" si="6"/>
        <v>160</v>
      </c>
      <c r="CB115" s="5">
        <v>8</v>
      </c>
    </row>
    <row r="116" spans="78:80" x14ac:dyDescent="0.25">
      <c r="BZ116" s="116">
        <f t="shared" si="5"/>
        <v>161</v>
      </c>
      <c r="CA116" s="116">
        <f t="shared" si="6"/>
        <v>180</v>
      </c>
      <c r="CB116" s="5">
        <v>9</v>
      </c>
    </row>
    <row r="117" spans="78:80" x14ac:dyDescent="0.25">
      <c r="BZ117" s="116">
        <f t="shared" si="5"/>
        <v>181</v>
      </c>
      <c r="CA117" s="116">
        <f t="shared" si="6"/>
        <v>200</v>
      </c>
      <c r="CB117" s="5">
        <v>10</v>
      </c>
    </row>
    <row r="118" spans="78:80" x14ac:dyDescent="0.25">
      <c r="BZ118" s="116">
        <f t="shared" si="5"/>
        <v>201</v>
      </c>
      <c r="CA118" s="116">
        <f t="shared" si="6"/>
        <v>220</v>
      </c>
      <c r="CB118" s="5">
        <v>11</v>
      </c>
    </row>
    <row r="119" spans="78:80" x14ac:dyDescent="0.25">
      <c r="BZ119" s="116">
        <f t="shared" si="5"/>
        <v>221</v>
      </c>
      <c r="CA119" s="116">
        <f t="shared" si="6"/>
        <v>240</v>
      </c>
      <c r="CB119" s="5">
        <v>12</v>
      </c>
    </row>
    <row r="120" spans="78:80" x14ac:dyDescent="0.25">
      <c r="BZ120" s="116">
        <f t="shared" si="5"/>
        <v>241</v>
      </c>
      <c r="CA120" s="116">
        <f t="shared" si="6"/>
        <v>256</v>
      </c>
      <c r="CB120" s="5">
        <v>13</v>
      </c>
    </row>
    <row r="121" spans="78:80" x14ac:dyDescent="0.25">
      <c r="BZ121" s="116" t="str">
        <f t="shared" ref="BZ121:BZ146" si="7">IF(CB121&lt;$BZ$107+2,CA120+1," ")</f>
        <v xml:space="preserve"> </v>
      </c>
      <c r="CA121" s="116" t="str">
        <f t="shared" ref="CA121:CA146" si="8">IF(BZ121=" "," ",IF(CB121*20&lt;$BY$107,CB121*20,CA120+$CA$107))</f>
        <v xml:space="preserve"> </v>
      </c>
      <c r="CB121" s="5">
        <v>14</v>
      </c>
    </row>
    <row r="122" spans="78:80" x14ac:dyDescent="0.25">
      <c r="BZ122" s="116" t="str">
        <f t="shared" si="7"/>
        <v xml:space="preserve"> </v>
      </c>
      <c r="CA122" s="116" t="str">
        <f t="shared" si="8"/>
        <v xml:space="preserve"> </v>
      </c>
      <c r="CB122" s="5">
        <v>15</v>
      </c>
    </row>
    <row r="123" spans="78:80" x14ac:dyDescent="0.25">
      <c r="BZ123" s="116" t="str">
        <f t="shared" si="7"/>
        <v xml:space="preserve"> </v>
      </c>
      <c r="CA123" s="116" t="str">
        <f t="shared" si="8"/>
        <v xml:space="preserve"> </v>
      </c>
      <c r="CB123" s="5">
        <v>16</v>
      </c>
    </row>
    <row r="124" spans="78:80" x14ac:dyDescent="0.25">
      <c r="BZ124" s="116" t="str">
        <f t="shared" si="7"/>
        <v xml:space="preserve"> </v>
      </c>
      <c r="CA124" s="116" t="str">
        <f t="shared" si="8"/>
        <v xml:space="preserve"> </v>
      </c>
      <c r="CB124" s="5">
        <v>17</v>
      </c>
    </row>
    <row r="125" spans="78:80" x14ac:dyDescent="0.25">
      <c r="BZ125" s="116" t="str">
        <f t="shared" si="7"/>
        <v xml:space="preserve"> </v>
      </c>
      <c r="CA125" s="116" t="str">
        <f t="shared" si="8"/>
        <v xml:space="preserve"> </v>
      </c>
      <c r="CB125" s="5">
        <v>18</v>
      </c>
    </row>
    <row r="126" spans="78:80" x14ac:dyDescent="0.25">
      <c r="BZ126" s="116" t="str">
        <f t="shared" si="7"/>
        <v xml:space="preserve"> </v>
      </c>
      <c r="CA126" s="116" t="str">
        <f t="shared" si="8"/>
        <v xml:space="preserve"> </v>
      </c>
      <c r="CB126" s="5">
        <v>19</v>
      </c>
    </row>
    <row r="127" spans="78:80" x14ac:dyDescent="0.25">
      <c r="BZ127" s="116" t="str">
        <f t="shared" si="7"/>
        <v xml:space="preserve"> </v>
      </c>
      <c r="CA127" s="116" t="str">
        <f t="shared" si="8"/>
        <v xml:space="preserve"> </v>
      </c>
      <c r="CB127" s="5">
        <v>20</v>
      </c>
    </row>
    <row r="128" spans="78:80" x14ac:dyDescent="0.25">
      <c r="BZ128" s="116" t="str">
        <f t="shared" si="7"/>
        <v xml:space="preserve"> </v>
      </c>
      <c r="CA128" s="116" t="str">
        <f t="shared" si="8"/>
        <v xml:space="preserve"> </v>
      </c>
      <c r="CB128" s="5">
        <v>21</v>
      </c>
    </row>
    <row r="129" spans="78:80" x14ac:dyDescent="0.25">
      <c r="BZ129" s="116" t="str">
        <f t="shared" si="7"/>
        <v xml:space="preserve"> </v>
      </c>
      <c r="CA129" s="116" t="str">
        <f t="shared" si="8"/>
        <v xml:space="preserve"> </v>
      </c>
      <c r="CB129" s="5">
        <v>22</v>
      </c>
    </row>
    <row r="130" spans="78:80" x14ac:dyDescent="0.25">
      <c r="BZ130" s="116" t="str">
        <f t="shared" si="7"/>
        <v xml:space="preserve"> </v>
      </c>
      <c r="CA130" s="116" t="str">
        <f t="shared" si="8"/>
        <v xml:space="preserve"> </v>
      </c>
      <c r="CB130" s="5">
        <v>23</v>
      </c>
    </row>
    <row r="131" spans="78:80" x14ac:dyDescent="0.25">
      <c r="BZ131" s="116" t="str">
        <f t="shared" si="7"/>
        <v xml:space="preserve"> </v>
      </c>
      <c r="CA131" s="116" t="str">
        <f t="shared" si="8"/>
        <v xml:space="preserve"> </v>
      </c>
      <c r="CB131" s="5">
        <v>24</v>
      </c>
    </row>
    <row r="132" spans="78:80" x14ac:dyDescent="0.25">
      <c r="BZ132" s="116" t="str">
        <f t="shared" si="7"/>
        <v xml:space="preserve"> </v>
      </c>
      <c r="CA132" s="116" t="str">
        <f t="shared" si="8"/>
        <v xml:space="preserve"> </v>
      </c>
      <c r="CB132" s="5">
        <v>25</v>
      </c>
    </row>
    <row r="133" spans="78:80" x14ac:dyDescent="0.25">
      <c r="BZ133" s="116" t="str">
        <f t="shared" si="7"/>
        <v xml:space="preserve"> </v>
      </c>
      <c r="CA133" s="116" t="str">
        <f t="shared" si="8"/>
        <v xml:space="preserve"> </v>
      </c>
      <c r="CB133" s="5">
        <v>26</v>
      </c>
    </row>
    <row r="134" spans="78:80" x14ac:dyDescent="0.25">
      <c r="BZ134" s="116" t="str">
        <f t="shared" si="7"/>
        <v xml:space="preserve"> </v>
      </c>
      <c r="CA134" s="116" t="str">
        <f t="shared" si="8"/>
        <v xml:space="preserve"> </v>
      </c>
      <c r="CB134" s="5">
        <v>27</v>
      </c>
    </row>
    <row r="135" spans="78:80" x14ac:dyDescent="0.25">
      <c r="BZ135" s="116" t="str">
        <f t="shared" si="7"/>
        <v xml:space="preserve"> </v>
      </c>
      <c r="CA135" s="116" t="str">
        <f t="shared" si="8"/>
        <v xml:space="preserve"> </v>
      </c>
      <c r="CB135" s="5">
        <v>28</v>
      </c>
    </row>
    <row r="136" spans="78:80" x14ac:dyDescent="0.25">
      <c r="BZ136" s="116" t="str">
        <f t="shared" si="7"/>
        <v xml:space="preserve"> </v>
      </c>
      <c r="CA136" s="116" t="str">
        <f t="shared" si="8"/>
        <v xml:space="preserve"> </v>
      </c>
      <c r="CB136" s="5">
        <v>29</v>
      </c>
    </row>
    <row r="137" spans="78:80" x14ac:dyDescent="0.25">
      <c r="BZ137" s="116" t="str">
        <f t="shared" si="7"/>
        <v xml:space="preserve"> </v>
      </c>
      <c r="CA137" s="116" t="str">
        <f t="shared" si="8"/>
        <v xml:space="preserve"> </v>
      </c>
      <c r="CB137" s="5">
        <v>30</v>
      </c>
    </row>
    <row r="138" spans="78:80" x14ac:dyDescent="0.25">
      <c r="BZ138" s="116" t="str">
        <f t="shared" si="7"/>
        <v xml:space="preserve"> </v>
      </c>
      <c r="CA138" s="116" t="str">
        <f t="shared" si="8"/>
        <v xml:space="preserve"> </v>
      </c>
      <c r="CB138" s="5">
        <v>31</v>
      </c>
    </row>
    <row r="139" spans="78:80" x14ac:dyDescent="0.25">
      <c r="BZ139" s="116" t="str">
        <f t="shared" si="7"/>
        <v xml:space="preserve"> </v>
      </c>
      <c r="CA139" s="116" t="str">
        <f t="shared" si="8"/>
        <v xml:space="preserve"> </v>
      </c>
      <c r="CB139" s="5">
        <v>32</v>
      </c>
    </row>
    <row r="140" spans="78:80" x14ac:dyDescent="0.25">
      <c r="BZ140" s="116" t="str">
        <f t="shared" si="7"/>
        <v xml:space="preserve"> </v>
      </c>
      <c r="CA140" s="116" t="str">
        <f t="shared" si="8"/>
        <v xml:space="preserve"> </v>
      </c>
      <c r="CB140" s="5">
        <v>33</v>
      </c>
    </row>
    <row r="141" spans="78:80" x14ac:dyDescent="0.25">
      <c r="BZ141" s="116" t="str">
        <f t="shared" si="7"/>
        <v xml:space="preserve"> </v>
      </c>
      <c r="CA141" s="116" t="str">
        <f t="shared" si="8"/>
        <v xml:space="preserve"> </v>
      </c>
      <c r="CB141" s="5">
        <v>34</v>
      </c>
    </row>
    <row r="142" spans="78:80" x14ac:dyDescent="0.25">
      <c r="BZ142" s="116" t="str">
        <f t="shared" si="7"/>
        <v xml:space="preserve"> </v>
      </c>
      <c r="CA142" s="116" t="str">
        <f t="shared" si="8"/>
        <v xml:space="preserve"> </v>
      </c>
      <c r="CB142" s="5">
        <v>35</v>
      </c>
    </row>
    <row r="143" spans="78:80" x14ac:dyDescent="0.25">
      <c r="BZ143" s="116" t="str">
        <f t="shared" si="7"/>
        <v xml:space="preserve"> </v>
      </c>
      <c r="CA143" s="116" t="str">
        <f t="shared" si="8"/>
        <v xml:space="preserve"> </v>
      </c>
      <c r="CB143" s="5">
        <v>36</v>
      </c>
    </row>
    <row r="144" spans="78:80" x14ac:dyDescent="0.25">
      <c r="BZ144" s="116" t="str">
        <f t="shared" si="7"/>
        <v xml:space="preserve"> </v>
      </c>
      <c r="CA144" s="116" t="str">
        <f t="shared" si="8"/>
        <v xml:space="preserve"> </v>
      </c>
      <c r="CB144" s="5">
        <v>37</v>
      </c>
    </row>
    <row r="145" spans="78:80" x14ac:dyDescent="0.25">
      <c r="BZ145" s="116" t="str">
        <f t="shared" si="7"/>
        <v xml:space="preserve"> </v>
      </c>
      <c r="CA145" s="116" t="str">
        <f t="shared" si="8"/>
        <v xml:space="preserve"> </v>
      </c>
      <c r="CB145" s="5">
        <v>38</v>
      </c>
    </row>
    <row r="146" spans="78:80" x14ac:dyDescent="0.25">
      <c r="BZ146" s="116" t="str">
        <f t="shared" si="7"/>
        <v xml:space="preserve"> </v>
      </c>
      <c r="CA146" s="116" t="str">
        <f t="shared" si="8"/>
        <v xml:space="preserve"> </v>
      </c>
      <c r="CB146" s="5">
        <v>39</v>
      </c>
    </row>
  </sheetData>
  <sortState xmlns:xlrd2="http://schemas.microsoft.com/office/spreadsheetml/2017/richdata2" ref="BW22:BW33">
    <sortCondition ref="BW22"/>
  </sortState>
  <mergeCells count="236">
    <mergeCell ref="O72:AT72"/>
    <mergeCell ref="O73:AT73"/>
    <mergeCell ref="O75:AT75"/>
    <mergeCell ref="L77:AS78"/>
    <mergeCell ref="L79:AS79"/>
    <mergeCell ref="D81:AU81"/>
    <mergeCell ref="CB97:CC97"/>
    <mergeCell ref="BB70:BG70"/>
    <mergeCell ref="BB72:BK72"/>
    <mergeCell ref="BB73:BK73"/>
    <mergeCell ref="BB75:BK75"/>
    <mergeCell ref="E84:G84"/>
    <mergeCell ref="H84:L84"/>
    <mergeCell ref="M84:Q84"/>
    <mergeCell ref="R84:V84"/>
    <mergeCell ref="W84:Y84"/>
    <mergeCell ref="E85:G85"/>
    <mergeCell ref="H85:L85"/>
    <mergeCell ref="M85:Q85"/>
    <mergeCell ref="R85:V85"/>
    <mergeCell ref="W85:Y85"/>
    <mergeCell ref="E86:G86"/>
    <mergeCell ref="H86:L86"/>
    <mergeCell ref="W70:AT70"/>
    <mergeCell ref="BB67:BG67"/>
    <mergeCell ref="BB68:BG68"/>
    <mergeCell ref="E69:M69"/>
    <mergeCell ref="BB69:BG69"/>
    <mergeCell ref="BW57:CC57"/>
    <mergeCell ref="BW58:CC58"/>
    <mergeCell ref="BA59:BL59"/>
    <mergeCell ref="D60:AU60"/>
    <mergeCell ref="BA60:BL60"/>
    <mergeCell ref="E62:M62"/>
    <mergeCell ref="BA62:BL62"/>
    <mergeCell ref="E64:M64"/>
    <mergeCell ref="V64:X64"/>
    <mergeCell ref="BA64:BL64"/>
    <mergeCell ref="E57:G57"/>
    <mergeCell ref="H57:L57"/>
    <mergeCell ref="M57:Q57"/>
    <mergeCell ref="R57:V57"/>
    <mergeCell ref="W57:Y57"/>
    <mergeCell ref="W66:AR66"/>
    <mergeCell ref="W69:AT69"/>
    <mergeCell ref="AH57:AT57"/>
    <mergeCell ref="E55:G55"/>
    <mergeCell ref="H55:L55"/>
    <mergeCell ref="M55:Q55"/>
    <mergeCell ref="R55:V55"/>
    <mergeCell ref="W55:Y55"/>
    <mergeCell ref="Z55:AA55"/>
    <mergeCell ref="AC55:AE55"/>
    <mergeCell ref="AF55:AG55"/>
    <mergeCell ref="E66:M66"/>
    <mergeCell ref="Z57:AA57"/>
    <mergeCell ref="AC57:AE57"/>
    <mergeCell ref="AF57:AG57"/>
    <mergeCell ref="E56:G56"/>
    <mergeCell ref="H56:L56"/>
    <mergeCell ref="M56:Q56"/>
    <mergeCell ref="R56:V56"/>
    <mergeCell ref="W56:Y56"/>
    <mergeCell ref="Z56:AA56"/>
    <mergeCell ref="AC56:AE56"/>
    <mergeCell ref="AF56:AG56"/>
    <mergeCell ref="AH56:AT56"/>
    <mergeCell ref="CD52:CP52"/>
    <mergeCell ref="CD53:CP53"/>
    <mergeCell ref="BA51:BG52"/>
    <mergeCell ref="BY51:CA51"/>
    <mergeCell ref="CB51:CC51"/>
    <mergeCell ref="BY53:CA53"/>
    <mergeCell ref="CB53:CC53"/>
    <mergeCell ref="BH53:BO53"/>
    <mergeCell ref="AZ53:BG53"/>
    <mergeCell ref="CD51:CP51"/>
    <mergeCell ref="CB52:CC52"/>
    <mergeCell ref="AZ51:AZ52"/>
    <mergeCell ref="BY52:CA52"/>
    <mergeCell ref="AZ54:BG54"/>
    <mergeCell ref="BH54:BO54"/>
    <mergeCell ref="AH54:AT54"/>
    <mergeCell ref="AH53:AT53"/>
    <mergeCell ref="AW40:AW80"/>
    <mergeCell ref="AH51:AT51"/>
    <mergeCell ref="AH52:AT52"/>
    <mergeCell ref="AH55:AT55"/>
    <mergeCell ref="CK45:CO45"/>
    <mergeCell ref="CP45:CR45"/>
    <mergeCell ref="E53:G53"/>
    <mergeCell ref="H53:L53"/>
    <mergeCell ref="M53:Q53"/>
    <mergeCell ref="R53:V53"/>
    <mergeCell ref="W53:Y53"/>
    <mergeCell ref="Z53:AA53"/>
    <mergeCell ref="AC53:AE53"/>
    <mergeCell ref="AF53:AG53"/>
    <mergeCell ref="E54:G54"/>
    <mergeCell ref="H54:L54"/>
    <mergeCell ref="M54:Q54"/>
    <mergeCell ref="R54:V54"/>
    <mergeCell ref="W54:Y54"/>
    <mergeCell ref="Z54:AA54"/>
    <mergeCell ref="AC54:AE54"/>
    <mergeCell ref="AF54:AG54"/>
    <mergeCell ref="AF51:AG51"/>
    <mergeCell ref="AC52:AE52"/>
    <mergeCell ref="E26:K26"/>
    <mergeCell ref="E27:K27"/>
    <mergeCell ref="E47:H47"/>
    <mergeCell ref="I47:K47"/>
    <mergeCell ref="M47:T47"/>
    <mergeCell ref="X47:AJ47"/>
    <mergeCell ref="M25:AT25"/>
    <mergeCell ref="M26:AT26"/>
    <mergeCell ref="M27:AT27"/>
    <mergeCell ref="M50:Q50"/>
    <mergeCell ref="R50:V50"/>
    <mergeCell ref="W50:Y50"/>
    <mergeCell ref="Z50:AB50"/>
    <mergeCell ref="AC50:AG50"/>
    <mergeCell ref="E52:G52"/>
    <mergeCell ref="AH50:AT50"/>
    <mergeCell ref="E51:G51"/>
    <mergeCell ref="H51:L51"/>
    <mergeCell ref="BY101:CC101"/>
    <mergeCell ref="CB98:CC98"/>
    <mergeCell ref="CB99:CC99"/>
    <mergeCell ref="AB1:AU1"/>
    <mergeCell ref="V2:AU2"/>
    <mergeCell ref="C5:I5"/>
    <mergeCell ref="W5:AU5"/>
    <mergeCell ref="D8:AU8"/>
    <mergeCell ref="E11:J11"/>
    <mergeCell ref="E13:J13"/>
    <mergeCell ref="E14:J14"/>
    <mergeCell ref="BA24:BJ24"/>
    <mergeCell ref="E49:AT49"/>
    <mergeCell ref="BL24:BU24"/>
    <mergeCell ref="E25:K25"/>
    <mergeCell ref="BA25:BJ25"/>
    <mergeCell ref="BL25:BU25"/>
    <mergeCell ref="D17:AU17"/>
    <mergeCell ref="H20:L20"/>
    <mergeCell ref="E21:G21"/>
    <mergeCell ref="E22:K22"/>
    <mergeCell ref="D30:AU30"/>
    <mergeCell ref="E32:W32"/>
    <mergeCell ref="Z32:AR32"/>
    <mergeCell ref="BX45:BZ45"/>
    <mergeCell ref="CA45:CE45"/>
    <mergeCell ref="CF45:CJ45"/>
    <mergeCell ref="BX48:BZ48"/>
    <mergeCell ref="CA48:CE48"/>
    <mergeCell ref="CF48:CJ48"/>
    <mergeCell ref="CK48:CO48"/>
    <mergeCell ref="CP48:CR48"/>
    <mergeCell ref="BX49:BZ49"/>
    <mergeCell ref="CA49:CE49"/>
    <mergeCell ref="CF49:CJ49"/>
    <mergeCell ref="CK49:CO49"/>
    <mergeCell ref="CP49:CR49"/>
    <mergeCell ref="BX46:BZ46"/>
    <mergeCell ref="CA46:CE46"/>
    <mergeCell ref="CF46:CJ46"/>
    <mergeCell ref="CK46:CO46"/>
    <mergeCell ref="CP46:CR46"/>
    <mergeCell ref="BX47:BZ47"/>
    <mergeCell ref="CA47:CE47"/>
    <mergeCell ref="CF47:CJ47"/>
    <mergeCell ref="CK47:CO47"/>
    <mergeCell ref="CP47:CR47"/>
    <mergeCell ref="BX50:BZ50"/>
    <mergeCell ref="CA50:CE50"/>
    <mergeCell ref="CF50:CJ50"/>
    <mergeCell ref="CK50:CO50"/>
    <mergeCell ref="CP50:CR50"/>
    <mergeCell ref="E89:G89"/>
    <mergeCell ref="H89:L89"/>
    <mergeCell ref="M89:Q89"/>
    <mergeCell ref="R89:V89"/>
    <mergeCell ref="W89:Y89"/>
    <mergeCell ref="M86:Q86"/>
    <mergeCell ref="R86:V86"/>
    <mergeCell ref="W86:Y86"/>
    <mergeCell ref="E87:G87"/>
    <mergeCell ref="H87:L87"/>
    <mergeCell ref="M87:Q87"/>
    <mergeCell ref="R87:V87"/>
    <mergeCell ref="W87:Y87"/>
    <mergeCell ref="E88:G88"/>
    <mergeCell ref="H88:L88"/>
    <mergeCell ref="M88:Q88"/>
    <mergeCell ref="R88:V88"/>
    <mergeCell ref="W88:Y88"/>
    <mergeCell ref="E72:M72"/>
    <mergeCell ref="E19:G20"/>
    <mergeCell ref="M22:AT22"/>
    <mergeCell ref="M20:AT20"/>
    <mergeCell ref="H19:AT19"/>
    <mergeCell ref="M23:AT23"/>
    <mergeCell ref="M24:AT24"/>
    <mergeCell ref="K11:AT11"/>
    <mergeCell ref="K10:AT10"/>
    <mergeCell ref="K13:AT13"/>
    <mergeCell ref="K14:AT14"/>
    <mergeCell ref="E10:J10"/>
    <mergeCell ref="E12:J12"/>
    <mergeCell ref="K12:AT12"/>
    <mergeCell ref="E23:K23"/>
    <mergeCell ref="E24:K24"/>
    <mergeCell ref="E75:M75"/>
    <mergeCell ref="E77:K77"/>
    <mergeCell ref="Y64:AT64"/>
    <mergeCell ref="W67:AF67"/>
    <mergeCell ref="O66:T66"/>
    <mergeCell ref="O64:T64"/>
    <mergeCell ref="O62:AT62"/>
    <mergeCell ref="O69:T69"/>
    <mergeCell ref="Z33:AT45"/>
    <mergeCell ref="AK47:AL47"/>
    <mergeCell ref="AO47:AQ47"/>
    <mergeCell ref="E50:G50"/>
    <mergeCell ref="H50:L50"/>
    <mergeCell ref="H52:L52"/>
    <mergeCell ref="M52:Q52"/>
    <mergeCell ref="R52:V52"/>
    <mergeCell ref="W52:Y52"/>
    <mergeCell ref="Z52:AA52"/>
    <mergeCell ref="AF52:AG52"/>
    <mergeCell ref="M51:Q51"/>
    <mergeCell ref="R51:V51"/>
    <mergeCell ref="W51:Y51"/>
    <mergeCell ref="Z51:AA51"/>
    <mergeCell ref="AC51:AE51"/>
  </mergeCells>
  <conditionalFormatting sqref="D8:AU8">
    <cfRule type="cellIs" priority="1" operator="equal">
      <formula>$K$14</formula>
    </cfRule>
  </conditionalFormatting>
  <dataValidations count="5">
    <dataValidation type="list" allowBlank="1" showInputMessage="1" showErrorMessage="1" sqref="E52:G57" xr:uid="{00000000-0002-0000-0000-000000000000}">
      <formula1>FILDO</formula1>
    </dataValidation>
    <dataValidation type="list" allowBlank="1" showInputMessage="1" showErrorMessage="1" sqref="H51:L57" xr:uid="{00000000-0002-0000-0000-000001000000}">
      <formula1>ROLE</formula1>
    </dataValidation>
    <dataValidation type="list" allowBlank="1" showInputMessage="1" showErrorMessage="1" sqref="M51:Q57" xr:uid="{00000000-0002-0000-0000-000002000000}">
      <formula1>GEOMETRIE</formula1>
    </dataValidation>
    <dataValidation type="list" allowBlank="1" showInputMessage="1" showErrorMessage="1" sqref="R51:V57" xr:uid="{00000000-0002-0000-0000-000003000000}">
      <formula1>diametre</formula1>
    </dataValidation>
    <dataValidation type="list" allowBlank="1" showInputMessage="1" showErrorMessage="1" sqref="W51:Y57" xr:uid="{00000000-0002-0000-0000-000004000000}">
      <formula1>NATURE</formula1>
    </dataValidation>
  </dataValidations>
  <printOptions horizontalCentered="1" verticalCentered="1"/>
  <pageMargins left="0.47244094488188981" right="0.15748031496062992" top="0.31496062992125984" bottom="0.19685039370078741" header="0.51181102362204722" footer="0.27559055118110237"/>
  <pageSetup paperSize="9" scale="75" orientation="portrait" copies="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PDFExport">
                <anchor moveWithCells="1">
                  <from>
                    <xdr:col>51</xdr:col>
                    <xdr:colOff>0</xdr:colOff>
                    <xdr:row>76</xdr:row>
                    <xdr:rowOff>45720</xdr:rowOff>
                  </from>
                  <to>
                    <xdr:col>52</xdr:col>
                    <xdr:colOff>106680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INFILTRATION_ABS">
                <anchor moveWithCells="1" sizeWithCells="1">
                  <from>
                    <xdr:col>51</xdr:col>
                    <xdr:colOff>38100</xdr:colOff>
                    <xdr:row>65</xdr:row>
                    <xdr:rowOff>60960</xdr:rowOff>
                  </from>
                  <to>
                    <xdr:col>51</xdr:col>
                    <xdr:colOff>312420</xdr:colOff>
                    <xdr:row>66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Button 3">
              <controlPr defaultSize="0" print="0" autoFill="0" autoPict="0" macro="[0]!INFILTRATION_FAIBLE">
                <anchor moveWithCells="1" sizeWithCells="1">
                  <from>
                    <xdr:col>51</xdr:col>
                    <xdr:colOff>327660</xdr:colOff>
                    <xdr:row>65</xdr:row>
                    <xdr:rowOff>60960</xdr:rowOff>
                  </from>
                  <to>
                    <xdr:col>51</xdr:col>
                    <xdr:colOff>601980</xdr:colOff>
                    <xdr:row>66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Button 4">
              <controlPr defaultSize="0" print="0" autoFill="0" autoPict="0" macro="[0]!INFILTRATION_MOY">
                <anchor moveWithCells="1" sizeWithCells="1">
                  <from>
                    <xdr:col>51</xdr:col>
                    <xdr:colOff>609600</xdr:colOff>
                    <xdr:row>65</xdr:row>
                    <xdr:rowOff>60960</xdr:rowOff>
                  </from>
                  <to>
                    <xdr:col>51</xdr:col>
                    <xdr:colOff>883920</xdr:colOff>
                    <xdr:row>66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Button 5">
              <controlPr defaultSize="0" print="0" autoFill="0" autoPict="0" macro="[0]!INFILTRATION_IMP">
                <anchor moveWithCells="1" sizeWithCells="1">
                  <from>
                    <xdr:col>51</xdr:col>
                    <xdr:colOff>899160</xdr:colOff>
                    <xdr:row>65</xdr:row>
                    <xdr:rowOff>60960</xdr:rowOff>
                  </from>
                  <to>
                    <xdr:col>51</xdr:col>
                    <xdr:colOff>1173480</xdr:colOff>
                    <xdr:row>66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Button 6">
              <controlPr defaultSize="0" print="0" autoFill="0" autoPict="0" macro="[0]!DEF_STRUC_ABS">
                <anchor moveWithCells="1" sizeWithCells="1">
                  <from>
                    <xdr:col>51</xdr:col>
                    <xdr:colOff>45720</xdr:colOff>
                    <xdr:row>68</xdr:row>
                    <xdr:rowOff>7620</xdr:rowOff>
                  </from>
                  <to>
                    <xdr:col>51</xdr:col>
                    <xdr:colOff>327660</xdr:colOff>
                    <xdr:row>69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Button 7">
              <controlPr defaultSize="0" print="0" autoFill="0" autoPict="0" macro="[0]!DEF_STRUC_FISSURE_LEGER">
                <anchor moveWithCells="1" sizeWithCells="1">
                  <from>
                    <xdr:col>51</xdr:col>
                    <xdr:colOff>335280</xdr:colOff>
                    <xdr:row>68</xdr:row>
                    <xdr:rowOff>7620</xdr:rowOff>
                  </from>
                  <to>
                    <xdr:col>51</xdr:col>
                    <xdr:colOff>609600</xdr:colOff>
                    <xdr:row>69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Button 8">
              <controlPr defaultSize="0" print="0" autoFill="0" autoPict="0" macro="[0]!DEF_STRUC_FISSURE_LOURD">
                <anchor moveWithCells="1" sizeWithCells="1">
                  <from>
                    <xdr:col>51</xdr:col>
                    <xdr:colOff>617220</xdr:colOff>
                    <xdr:row>68</xdr:row>
                    <xdr:rowOff>7620</xdr:rowOff>
                  </from>
                  <to>
                    <xdr:col>51</xdr:col>
                    <xdr:colOff>899160</xdr:colOff>
                    <xdr:row>69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Button 9">
              <controlPr defaultSize="0" print="0" autoFill="0" autoPict="0" macro="[0]!DEF_FERM_ABS">
                <anchor moveWithCells="1" sizeWithCells="1">
                  <from>
                    <xdr:col>51</xdr:col>
                    <xdr:colOff>60960</xdr:colOff>
                    <xdr:row>70</xdr:row>
                    <xdr:rowOff>22860</xdr:rowOff>
                  </from>
                  <to>
                    <xdr:col>51</xdr:col>
                    <xdr:colOff>335280</xdr:colOff>
                    <xdr:row>72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Button 10">
              <controlPr defaultSize="0" print="0" autoFill="0" autoPict="0" macro="[0]!DEF_FERMETURE_ENRO">
                <anchor moveWithCells="1" sizeWithCells="1">
                  <from>
                    <xdr:col>51</xdr:col>
                    <xdr:colOff>342900</xdr:colOff>
                    <xdr:row>70</xdr:row>
                    <xdr:rowOff>22860</xdr:rowOff>
                  </from>
                  <to>
                    <xdr:col>51</xdr:col>
                    <xdr:colOff>617220</xdr:colOff>
                    <xdr:row>72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Button 11">
              <controlPr defaultSize="0" print="0" autoFill="0" autoPict="0" macro="[0]!DEF_FERM_VEHI">
                <anchor moveWithCells="1" sizeWithCells="1">
                  <from>
                    <xdr:col>51</xdr:col>
                    <xdr:colOff>632460</xdr:colOff>
                    <xdr:row>70</xdr:row>
                    <xdr:rowOff>22860</xdr:rowOff>
                  </from>
                  <to>
                    <xdr:col>51</xdr:col>
                    <xdr:colOff>906780</xdr:colOff>
                    <xdr:row>72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Button 12">
              <controlPr defaultSize="0" print="0" autoFill="0" autoPict="0" macro="[0]!H2S_ABS">
                <anchor moveWithCells="1" sizeWithCells="1">
                  <from>
                    <xdr:col>51</xdr:col>
                    <xdr:colOff>30480</xdr:colOff>
                    <xdr:row>73</xdr:row>
                    <xdr:rowOff>7620</xdr:rowOff>
                  </from>
                  <to>
                    <xdr:col>51</xdr:col>
                    <xdr:colOff>304800</xdr:colOff>
                    <xdr:row>74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Button 13">
              <controlPr defaultSize="0" print="0" autoFill="0" autoPict="0" macro="[0]!H2S_FAIBLE">
                <anchor moveWithCells="1" sizeWithCells="1">
                  <from>
                    <xdr:col>51</xdr:col>
                    <xdr:colOff>312420</xdr:colOff>
                    <xdr:row>73</xdr:row>
                    <xdr:rowOff>7620</xdr:rowOff>
                  </from>
                  <to>
                    <xdr:col>51</xdr:col>
                    <xdr:colOff>594360</xdr:colOff>
                    <xdr:row>74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Button 14">
              <controlPr defaultSize="0" print="0" autoFill="0" autoPict="0" macro="[0]!H2S_MOYEN">
                <anchor moveWithCells="1" sizeWithCells="1">
                  <from>
                    <xdr:col>51</xdr:col>
                    <xdr:colOff>601980</xdr:colOff>
                    <xdr:row>73</xdr:row>
                    <xdr:rowOff>7620</xdr:rowOff>
                  </from>
                  <to>
                    <xdr:col>51</xdr:col>
                    <xdr:colOff>876300</xdr:colOff>
                    <xdr:row>74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Button 15">
              <controlPr defaultSize="0" print="0" autoFill="0" autoPict="0" macro="[0]!H2S_IMP">
                <anchor moveWithCells="1" sizeWithCells="1">
                  <from>
                    <xdr:col>51</xdr:col>
                    <xdr:colOff>883920</xdr:colOff>
                    <xdr:row>73</xdr:row>
                    <xdr:rowOff>7620</xdr:rowOff>
                  </from>
                  <to>
                    <xdr:col>51</xdr:col>
                    <xdr:colOff>1165860</xdr:colOff>
                    <xdr:row>74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BD477-C637-4122-99A3-DD6FA03AFCA1}">
  <sheetPr codeName="Feuil1"/>
  <dimension ref="A1:AY96"/>
  <sheetViews>
    <sheetView tabSelected="1" workbookViewId="0">
      <selection activeCell="W16" sqref="W16"/>
    </sheetView>
  </sheetViews>
  <sheetFormatPr baseColWidth="10" defaultRowHeight="14.25" customHeight="1" x14ac:dyDescent="0.25"/>
  <cols>
    <col min="1" max="1" width="11.5546875" style="138"/>
    <col min="2" max="51" width="2.6640625" style="138" customWidth="1"/>
    <col min="52" max="16384" width="11.5546875" style="138"/>
  </cols>
  <sheetData>
    <row r="1" spans="1:51" ht="14.25" customHeight="1" x14ac:dyDescent="0.25">
      <c r="B1" s="134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5"/>
      <c r="AO1" s="135"/>
      <c r="AP1" s="135"/>
      <c r="AQ1" s="135"/>
      <c r="AR1" s="135"/>
      <c r="AS1" s="135"/>
      <c r="AT1" s="135"/>
      <c r="AU1" s="135"/>
      <c r="AV1" s="135"/>
      <c r="AW1" s="135"/>
      <c r="AX1" s="135"/>
      <c r="AY1" s="136"/>
    </row>
    <row r="2" spans="1:51" ht="14.25" customHeight="1" x14ac:dyDescent="0.25">
      <c r="B2" s="137"/>
      <c r="AY2" s="139"/>
    </row>
    <row r="3" spans="1:51" ht="14.25" customHeight="1" x14ac:dyDescent="0.25">
      <c r="B3" s="137"/>
      <c r="AY3" s="139"/>
    </row>
    <row r="4" spans="1:51" ht="14.25" customHeight="1" x14ac:dyDescent="0.25">
      <c r="A4" s="36"/>
      <c r="B4" s="96"/>
      <c r="D4" s="292" t="s">
        <v>137</v>
      </c>
      <c r="E4" s="293"/>
      <c r="F4" s="293"/>
      <c r="G4" s="293"/>
      <c r="H4" s="293"/>
      <c r="I4" s="293"/>
      <c r="J4" s="293"/>
      <c r="K4" s="293"/>
      <c r="L4" s="288" t="s">
        <v>139</v>
      </c>
      <c r="M4" s="288"/>
      <c r="N4" s="288"/>
      <c r="O4" s="288"/>
      <c r="P4" s="288"/>
      <c r="Q4" s="288"/>
      <c r="R4" s="288"/>
      <c r="S4" s="288"/>
      <c r="T4" s="288"/>
      <c r="U4" s="288"/>
      <c r="V4" s="288"/>
      <c r="W4" s="288"/>
      <c r="X4" s="288"/>
      <c r="Y4" s="288"/>
      <c r="Z4" s="288"/>
      <c r="AA4" s="288"/>
      <c r="AB4" s="288"/>
      <c r="AC4" s="288"/>
      <c r="AD4" s="288"/>
      <c r="AE4" s="288"/>
      <c r="AF4" s="289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5"/>
      <c r="AY4" s="139"/>
    </row>
    <row r="5" spans="1:51" ht="14.25" customHeight="1" x14ac:dyDescent="0.25">
      <c r="B5" s="137"/>
      <c r="D5" s="294" t="s">
        <v>142</v>
      </c>
      <c r="E5" s="288"/>
      <c r="F5" s="288"/>
      <c r="G5" s="288"/>
      <c r="H5" s="288"/>
      <c r="I5" s="288"/>
      <c r="J5" s="288"/>
      <c r="K5" s="288"/>
      <c r="L5" s="288" t="s">
        <v>139</v>
      </c>
      <c r="M5" s="288"/>
      <c r="N5" s="288"/>
      <c r="O5" s="288"/>
      <c r="P5" s="288"/>
      <c r="Q5" s="288"/>
      <c r="R5" s="288"/>
      <c r="S5" s="288"/>
      <c r="T5" s="288"/>
      <c r="U5" s="288"/>
      <c r="V5" s="288"/>
      <c r="W5" s="288"/>
      <c r="X5" s="288"/>
      <c r="Y5" s="288"/>
      <c r="Z5" s="288"/>
      <c r="AA5" s="288"/>
      <c r="AB5" s="288"/>
      <c r="AC5" s="288"/>
      <c r="AD5" s="288"/>
      <c r="AE5" s="288"/>
      <c r="AF5" s="289"/>
      <c r="AV5" s="146"/>
      <c r="AY5" s="139"/>
    </row>
    <row r="6" spans="1:51" ht="14.25" customHeight="1" x14ac:dyDescent="0.25">
      <c r="B6" s="137"/>
      <c r="D6" s="294" t="s">
        <v>138</v>
      </c>
      <c r="E6" s="288"/>
      <c r="F6" s="288"/>
      <c r="G6" s="288"/>
      <c r="H6" s="288"/>
      <c r="I6" s="288"/>
      <c r="J6" s="288"/>
      <c r="K6" s="288"/>
      <c r="L6" s="288" t="s">
        <v>140</v>
      </c>
      <c r="M6" s="288"/>
      <c r="N6" s="288"/>
      <c r="O6" s="288"/>
      <c r="P6" s="288"/>
      <c r="Q6" s="288"/>
      <c r="R6" s="288"/>
      <c r="S6" s="288"/>
      <c r="T6" s="288"/>
      <c r="U6" s="288"/>
      <c r="V6" s="288"/>
      <c r="W6" s="288"/>
      <c r="X6" s="288"/>
      <c r="Y6" s="288"/>
      <c r="Z6" s="288"/>
      <c r="AA6" s="288"/>
      <c r="AB6" s="288"/>
      <c r="AC6" s="288"/>
      <c r="AD6" s="288"/>
      <c r="AE6" s="288"/>
      <c r="AF6" s="289"/>
      <c r="AV6" s="146"/>
      <c r="AY6" s="139"/>
    </row>
    <row r="7" spans="1:51" ht="14.25" customHeight="1" x14ac:dyDescent="0.25">
      <c r="B7" s="137"/>
      <c r="D7" s="294" t="s">
        <v>141</v>
      </c>
      <c r="E7" s="288"/>
      <c r="F7" s="288"/>
      <c r="G7" s="288"/>
      <c r="H7" s="288"/>
      <c r="I7" s="288"/>
      <c r="J7" s="288"/>
      <c r="K7" s="288"/>
      <c r="L7" s="288" t="s">
        <v>143</v>
      </c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1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8"/>
      <c r="AY7" s="139"/>
    </row>
    <row r="8" spans="1:51" ht="14.25" customHeight="1" x14ac:dyDescent="0.25">
      <c r="B8" s="137"/>
      <c r="AY8" s="139"/>
    </row>
    <row r="9" spans="1:51" ht="14.25" customHeight="1" x14ac:dyDescent="0.25">
      <c r="B9" s="137"/>
      <c r="AY9" s="139"/>
    </row>
    <row r="10" spans="1:51" ht="14.25" customHeight="1" x14ac:dyDescent="0.25">
      <c r="B10" s="137"/>
      <c r="AY10" s="139"/>
    </row>
    <row r="11" spans="1:51" ht="14.25" customHeight="1" x14ac:dyDescent="0.25">
      <c r="B11" s="137"/>
      <c r="AY11" s="139"/>
    </row>
    <row r="12" spans="1:51" ht="14.25" customHeight="1" x14ac:dyDescent="0.25">
      <c r="B12" s="137"/>
      <c r="AY12" s="139"/>
    </row>
    <row r="13" spans="1:51" ht="14.25" customHeight="1" x14ac:dyDescent="0.25">
      <c r="B13" s="137"/>
      <c r="AY13" s="139"/>
    </row>
    <row r="14" spans="1:51" ht="14.25" customHeight="1" x14ac:dyDescent="0.25">
      <c r="B14" s="137"/>
      <c r="AY14" s="139"/>
    </row>
    <row r="15" spans="1:51" ht="14.25" customHeight="1" x14ac:dyDescent="0.25">
      <c r="B15" s="137"/>
      <c r="M15" s="143"/>
      <c r="AY15" s="139"/>
    </row>
    <row r="16" spans="1:51" ht="14.25" customHeight="1" x14ac:dyDescent="0.25">
      <c r="B16" s="137"/>
      <c r="AY16" s="139"/>
    </row>
    <row r="17" spans="2:51" ht="14.25" customHeight="1" x14ac:dyDescent="0.25">
      <c r="B17" s="137"/>
      <c r="AY17" s="139"/>
    </row>
    <row r="18" spans="2:51" ht="14.25" customHeight="1" x14ac:dyDescent="0.25">
      <c r="B18" s="137"/>
      <c r="AY18" s="139"/>
    </row>
    <row r="19" spans="2:51" ht="14.25" customHeight="1" x14ac:dyDescent="0.25">
      <c r="B19" s="137"/>
      <c r="Y19" s="143"/>
      <c r="AY19" s="139"/>
    </row>
    <row r="20" spans="2:51" ht="14.25" customHeight="1" x14ac:dyDescent="0.25">
      <c r="B20" s="137"/>
      <c r="AY20" s="139"/>
    </row>
    <row r="21" spans="2:51" ht="14.25" customHeight="1" x14ac:dyDescent="0.25">
      <c r="B21" s="137"/>
      <c r="AY21" s="139"/>
    </row>
    <row r="22" spans="2:51" ht="14.25" customHeight="1" x14ac:dyDescent="0.25">
      <c r="B22" s="137"/>
      <c r="AY22" s="139"/>
    </row>
    <row r="23" spans="2:51" ht="14.25" customHeight="1" x14ac:dyDescent="0.25">
      <c r="B23" s="137"/>
      <c r="AY23" s="139"/>
    </row>
    <row r="24" spans="2:51" ht="14.25" customHeight="1" x14ac:dyDescent="0.25">
      <c r="B24" s="137"/>
      <c r="AY24" s="139"/>
    </row>
    <row r="25" spans="2:51" ht="14.25" customHeight="1" x14ac:dyDescent="0.25">
      <c r="B25" s="137"/>
      <c r="AY25" s="139"/>
    </row>
    <row r="26" spans="2:51" ht="14.25" customHeight="1" x14ac:dyDescent="0.25">
      <c r="B26" s="137"/>
      <c r="AY26" s="139"/>
    </row>
    <row r="27" spans="2:51" ht="14.25" customHeight="1" x14ac:dyDescent="0.25">
      <c r="B27" s="137"/>
      <c r="AY27" s="139"/>
    </row>
    <row r="28" spans="2:51" ht="14.25" customHeight="1" x14ac:dyDescent="0.25">
      <c r="B28" s="137"/>
      <c r="AY28" s="139"/>
    </row>
    <row r="29" spans="2:51" ht="14.25" customHeight="1" x14ac:dyDescent="0.25">
      <c r="B29" s="137"/>
      <c r="AY29" s="139"/>
    </row>
    <row r="30" spans="2:51" ht="14.25" customHeight="1" x14ac:dyDescent="0.25">
      <c r="B30" s="137"/>
      <c r="AY30" s="139"/>
    </row>
    <row r="31" spans="2:51" ht="14.25" customHeight="1" x14ac:dyDescent="0.25">
      <c r="B31" s="137"/>
      <c r="AY31" s="139"/>
    </row>
    <row r="32" spans="2:51" ht="14.25" customHeight="1" x14ac:dyDescent="0.25">
      <c r="B32" s="137"/>
      <c r="AY32" s="139"/>
    </row>
    <row r="33" spans="2:51" ht="14.25" customHeight="1" x14ac:dyDescent="0.25">
      <c r="B33" s="137"/>
      <c r="AY33" s="139"/>
    </row>
    <row r="34" spans="2:51" ht="14.25" customHeight="1" x14ac:dyDescent="0.25">
      <c r="B34" s="137"/>
      <c r="AY34" s="139"/>
    </row>
    <row r="35" spans="2:51" ht="14.25" customHeight="1" x14ac:dyDescent="0.25">
      <c r="B35" s="137"/>
      <c r="AY35" s="139"/>
    </row>
    <row r="36" spans="2:51" ht="14.25" customHeight="1" x14ac:dyDescent="0.25">
      <c r="B36" s="137"/>
      <c r="AY36" s="139"/>
    </row>
    <row r="37" spans="2:51" ht="14.25" customHeight="1" x14ac:dyDescent="0.25">
      <c r="B37" s="137"/>
      <c r="AY37" s="139"/>
    </row>
    <row r="38" spans="2:51" ht="14.25" customHeight="1" x14ac:dyDescent="0.25">
      <c r="B38" s="137"/>
      <c r="AY38" s="139"/>
    </row>
    <row r="39" spans="2:51" ht="14.25" customHeight="1" x14ac:dyDescent="0.25">
      <c r="B39" s="137"/>
      <c r="AY39" s="139"/>
    </row>
    <row r="40" spans="2:51" ht="14.25" customHeight="1" x14ac:dyDescent="0.25">
      <c r="B40" s="137"/>
      <c r="AY40" s="139"/>
    </row>
    <row r="41" spans="2:51" ht="14.25" customHeight="1" x14ac:dyDescent="0.25">
      <c r="B41" s="137"/>
      <c r="AY41" s="139"/>
    </row>
    <row r="42" spans="2:51" ht="14.25" customHeight="1" x14ac:dyDescent="0.25">
      <c r="B42" s="137"/>
      <c r="AY42" s="139"/>
    </row>
    <row r="43" spans="2:51" ht="14.25" customHeight="1" x14ac:dyDescent="0.25">
      <c r="B43" s="137"/>
      <c r="AY43" s="139"/>
    </row>
    <row r="44" spans="2:51" ht="14.25" customHeight="1" x14ac:dyDescent="0.25">
      <c r="B44" s="137"/>
      <c r="AY44" s="139"/>
    </row>
    <row r="45" spans="2:51" ht="14.25" customHeight="1" x14ac:dyDescent="0.25">
      <c r="B45" s="137"/>
      <c r="AY45" s="139"/>
    </row>
    <row r="46" spans="2:51" ht="14.25" customHeight="1" x14ac:dyDescent="0.25">
      <c r="B46" s="137"/>
      <c r="AY46" s="139"/>
    </row>
    <row r="47" spans="2:51" ht="14.25" customHeight="1" x14ac:dyDescent="0.25">
      <c r="B47" s="137"/>
      <c r="AY47" s="139"/>
    </row>
    <row r="48" spans="2:51" ht="14.25" customHeight="1" x14ac:dyDescent="0.25">
      <c r="B48" s="137"/>
      <c r="AY48" s="139"/>
    </row>
    <row r="49" spans="2:51" ht="14.25" customHeight="1" x14ac:dyDescent="0.25">
      <c r="B49" s="137"/>
      <c r="AY49" s="139"/>
    </row>
    <row r="50" spans="2:51" ht="14.25" customHeight="1" x14ac:dyDescent="0.25">
      <c r="B50" s="137"/>
      <c r="AY50" s="139"/>
    </row>
    <row r="51" spans="2:51" ht="14.25" customHeight="1" x14ac:dyDescent="0.25">
      <c r="B51" s="137"/>
      <c r="AY51" s="139"/>
    </row>
    <row r="52" spans="2:51" ht="14.25" customHeight="1" x14ac:dyDescent="0.25">
      <c r="B52" s="137"/>
      <c r="AY52" s="139"/>
    </row>
    <row r="53" spans="2:51" ht="14.25" customHeight="1" x14ac:dyDescent="0.25">
      <c r="B53" s="137"/>
      <c r="AY53" s="139"/>
    </row>
    <row r="54" spans="2:51" ht="14.25" customHeight="1" x14ac:dyDescent="0.25">
      <c r="B54" s="137"/>
      <c r="AY54" s="139"/>
    </row>
    <row r="55" spans="2:51" ht="14.25" customHeight="1" x14ac:dyDescent="0.25">
      <c r="B55" s="137"/>
      <c r="AY55" s="139"/>
    </row>
    <row r="56" spans="2:51" ht="14.25" customHeight="1" x14ac:dyDescent="0.25">
      <c r="B56" s="137"/>
      <c r="AY56" s="139"/>
    </row>
    <row r="57" spans="2:51" ht="14.25" customHeight="1" x14ac:dyDescent="0.25">
      <c r="B57" s="137"/>
      <c r="AY57" s="139"/>
    </row>
    <row r="58" spans="2:51" ht="14.25" customHeight="1" x14ac:dyDescent="0.25">
      <c r="B58" s="137"/>
      <c r="AY58" s="139"/>
    </row>
    <row r="59" spans="2:51" ht="14.25" customHeight="1" x14ac:dyDescent="0.25">
      <c r="B59" s="137"/>
      <c r="AY59" s="139"/>
    </row>
    <row r="60" spans="2:51" ht="14.25" customHeight="1" x14ac:dyDescent="0.25">
      <c r="B60" s="137"/>
      <c r="AY60" s="139"/>
    </row>
    <row r="61" spans="2:51" ht="14.25" customHeight="1" x14ac:dyDescent="0.25">
      <c r="B61" s="137"/>
      <c r="AY61" s="139"/>
    </row>
    <row r="62" spans="2:51" ht="14.25" customHeight="1" x14ac:dyDescent="0.25">
      <c r="B62" s="137"/>
      <c r="AY62" s="139"/>
    </row>
    <row r="63" spans="2:51" ht="14.25" customHeight="1" x14ac:dyDescent="0.25">
      <c r="B63" s="137"/>
      <c r="AY63" s="139"/>
    </row>
    <row r="64" spans="2:51" ht="14.25" customHeight="1" x14ac:dyDescent="0.25">
      <c r="B64" s="137"/>
      <c r="AY64" s="139"/>
    </row>
    <row r="65" spans="2:51" ht="14.25" customHeight="1" x14ac:dyDescent="0.25">
      <c r="B65" s="137"/>
      <c r="AY65" s="139"/>
    </row>
    <row r="66" spans="2:51" ht="14.25" customHeight="1" x14ac:dyDescent="0.25">
      <c r="B66" s="137"/>
      <c r="AY66" s="139"/>
    </row>
    <row r="67" spans="2:51" ht="14.25" customHeight="1" x14ac:dyDescent="0.25">
      <c r="B67" s="137"/>
      <c r="AY67" s="139"/>
    </row>
    <row r="68" spans="2:51" ht="14.25" customHeight="1" x14ac:dyDescent="0.25">
      <c r="B68" s="137"/>
      <c r="AY68" s="139"/>
    </row>
    <row r="69" spans="2:51" ht="14.25" customHeight="1" x14ac:dyDescent="0.25">
      <c r="B69" s="137"/>
      <c r="AY69" s="139"/>
    </row>
    <row r="70" spans="2:51" ht="14.25" customHeight="1" x14ac:dyDescent="0.25">
      <c r="B70" s="137"/>
      <c r="AY70" s="139"/>
    </row>
    <row r="71" spans="2:51" ht="14.25" customHeight="1" x14ac:dyDescent="0.25">
      <c r="B71" s="137"/>
      <c r="AY71" s="139"/>
    </row>
    <row r="72" spans="2:51" ht="14.25" customHeight="1" x14ac:dyDescent="0.25">
      <c r="B72" s="137"/>
      <c r="AY72" s="139"/>
    </row>
    <row r="73" spans="2:51" ht="14.25" customHeight="1" x14ac:dyDescent="0.25">
      <c r="B73" s="137"/>
      <c r="AY73" s="139"/>
    </row>
    <row r="74" spans="2:51" ht="14.25" customHeight="1" x14ac:dyDescent="0.25">
      <c r="B74" s="137"/>
      <c r="AY74" s="139"/>
    </row>
    <row r="75" spans="2:51" ht="14.25" customHeight="1" x14ac:dyDescent="0.25">
      <c r="B75" s="137"/>
      <c r="AY75" s="139"/>
    </row>
    <row r="76" spans="2:51" ht="14.25" customHeight="1" x14ac:dyDescent="0.25">
      <c r="B76" s="137"/>
      <c r="AY76" s="139"/>
    </row>
    <row r="77" spans="2:51" ht="14.25" customHeight="1" x14ac:dyDescent="0.25">
      <c r="B77" s="137"/>
      <c r="AY77" s="139"/>
    </row>
    <row r="78" spans="2:51" ht="14.25" customHeight="1" x14ac:dyDescent="0.25">
      <c r="B78" s="137"/>
      <c r="AY78" s="139"/>
    </row>
    <row r="79" spans="2:51" ht="14.25" customHeight="1" x14ac:dyDescent="0.25">
      <c r="B79" s="137"/>
      <c r="AY79" s="139"/>
    </row>
    <row r="80" spans="2:51" ht="14.25" customHeight="1" x14ac:dyDescent="0.25">
      <c r="B80" s="137"/>
      <c r="AY80" s="139"/>
    </row>
    <row r="81" spans="2:51" ht="14.25" customHeight="1" thickBot="1" x14ac:dyDescent="0.3">
      <c r="B81" s="140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2"/>
    </row>
    <row r="96" spans="2:51" ht="14.25" customHeight="1" x14ac:dyDescent="0.25">
      <c r="C96" s="3"/>
    </row>
  </sheetData>
  <mergeCells count="8">
    <mergeCell ref="L4:AF4"/>
    <mergeCell ref="L6:AF6"/>
    <mergeCell ref="L5:AF5"/>
    <mergeCell ref="L7:AF7"/>
    <mergeCell ref="D4:K4"/>
    <mergeCell ref="D5:K5"/>
    <mergeCell ref="D6:K6"/>
    <mergeCell ref="D7:K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2705" r:id="rId3" name="CommandButton1">
          <controlPr defaultSize="0" autoLine="0" r:id="rId4">
            <anchor moveWithCells="1">
              <from>
                <xdr:col>32</xdr:col>
                <xdr:colOff>22860</xdr:colOff>
                <xdr:row>3</xdr:row>
                <xdr:rowOff>15240</xdr:rowOff>
              </from>
              <to>
                <xdr:col>47</xdr:col>
                <xdr:colOff>175260</xdr:colOff>
                <xdr:row>6</xdr:row>
                <xdr:rowOff>167640</xdr:rowOff>
              </to>
            </anchor>
          </controlPr>
        </control>
      </mc:Choice>
      <mc:Fallback>
        <control shapeId="7270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6</vt:i4>
      </vt:variant>
    </vt:vector>
  </HeadingPairs>
  <TitlesOfParts>
    <vt:vector size="8" baseType="lpstr">
      <vt:lpstr>témoin</vt:lpstr>
      <vt:lpstr>Main</vt:lpstr>
      <vt:lpstr>diametre</vt:lpstr>
      <vt:lpstr>FILDO</vt:lpstr>
      <vt:lpstr>GEOMETRIE</vt:lpstr>
      <vt:lpstr>NATURE</vt:lpstr>
      <vt:lpstr>ROLE</vt:lpstr>
      <vt:lpstr>témoin!Zone_d_impression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RIVES Laurent</dc:creator>
  <cp:lastModifiedBy>Matthieu Hue</cp:lastModifiedBy>
  <cp:lastPrinted>2019-10-18T13:25:55Z</cp:lastPrinted>
  <dcterms:created xsi:type="dcterms:W3CDTF">2007-05-22T09:46:54Z</dcterms:created>
  <dcterms:modified xsi:type="dcterms:W3CDTF">2019-10-18T13:30:01Z</dcterms:modified>
</cp:coreProperties>
</file>